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 firstSheet="5" activeTab="9"/>
  </bookViews>
  <sheets>
    <sheet name="Cost of Debt" sheetId="3" r:id="rId1"/>
    <sheet name="Cost of Equity" sheetId="4" r:id="rId2"/>
    <sheet name="Tax" sheetId="5" r:id="rId3"/>
    <sheet name="FCF" sheetId="8" r:id="rId4"/>
    <sheet name="CFFA Calc" sheetId="9" r:id="rId5"/>
    <sheet name="FCFF and FCFE calc" sheetId="10" r:id="rId6"/>
    <sheet name="DDM Valuation " sheetId="11" r:id="rId7"/>
    <sheet name="PE Valuation" sheetId="12" r:id="rId8"/>
    <sheet name="Du Pont" sheetId="7" r:id="rId9"/>
    <sheet name="Ratio" sheetId="6" r:id="rId10"/>
    <sheet name="Kohinoor Income Statement" sheetId="2" r:id="rId11"/>
    <sheet name="Kohinoor Balance Sheet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Guest User</author>
  </authors>
  <commentList>
    <comment ref="F25" authorId="0">
      <text>
        <r>
          <rPr>
            <sz val="11"/>
            <color rgb="FF000000"/>
            <rFont val="Calibri"/>
            <charset val="1"/>
          </rPr>
          <t xml:space="preserve">Unknown User:
NWC for 2020 calculated using the same method previously.
The sole purposes is for finding the 2021 CFFA
</t>
        </r>
      </text>
    </comment>
  </commentList>
</comments>
</file>

<file path=xl/sharedStrings.xml><?xml version="1.0" encoding="utf-8"?>
<sst xmlns="http://schemas.openxmlformats.org/spreadsheetml/2006/main" count="307" uniqueCount="206">
  <si>
    <t>Cash</t>
  </si>
  <si>
    <t>ST investment</t>
  </si>
  <si>
    <t>Total Liquid asset</t>
  </si>
  <si>
    <t>ST Debt</t>
  </si>
  <si>
    <t>LT Debt</t>
  </si>
  <si>
    <t>Total debt</t>
  </si>
  <si>
    <t>Net Debt</t>
  </si>
  <si>
    <t xml:space="preserve">  (Total Liquid Asset-Total Debt)</t>
  </si>
  <si>
    <t>Interest Income</t>
  </si>
  <si>
    <t xml:space="preserve">       Because it is an FMGG company not any Financing company</t>
  </si>
  <si>
    <t>Interest Expense</t>
  </si>
  <si>
    <t>Net Interest</t>
  </si>
  <si>
    <t>Implied cost of debt</t>
  </si>
  <si>
    <t xml:space="preserve">       (Net Interest/average of net debt begin and end)</t>
  </si>
  <si>
    <t>Interest rate earned</t>
  </si>
  <si>
    <t>Interest rate paid</t>
  </si>
  <si>
    <t>Current Share Price</t>
  </si>
  <si>
    <t>Year</t>
  </si>
  <si>
    <t>Current Dividend, Divo</t>
  </si>
  <si>
    <t>(Avg cash dps, 2020-2025)</t>
  </si>
  <si>
    <t>Cash DPS (Tk/share)</t>
  </si>
  <si>
    <t>Growth Rate,g</t>
  </si>
  <si>
    <t>Cost of Equity, ke</t>
  </si>
  <si>
    <t>Shares Outstanding (Current)</t>
  </si>
  <si>
    <t>Market Value of Equity, E</t>
  </si>
  <si>
    <t>Net Debt, D</t>
  </si>
  <si>
    <t>Total Value, V=E+D</t>
  </si>
  <si>
    <t>Cost of Debt (pre-tax), Kd</t>
  </si>
  <si>
    <t>Tax Rate, T</t>
  </si>
  <si>
    <t>WACC</t>
  </si>
  <si>
    <t>Cost of Debt</t>
  </si>
  <si>
    <t>Cost of Equity</t>
  </si>
  <si>
    <t>Debt</t>
  </si>
  <si>
    <t>Equity</t>
  </si>
  <si>
    <t>Market Value</t>
  </si>
  <si>
    <t>Tax Rate</t>
  </si>
  <si>
    <t xml:space="preserve">Year </t>
  </si>
  <si>
    <t>Profit Before Tax</t>
  </si>
  <si>
    <t>Income Tax Expenses</t>
  </si>
  <si>
    <t>(Tax Expenses/Profit Before Tax)</t>
  </si>
  <si>
    <t>Net Operating Earnings</t>
  </si>
  <si>
    <t>Changes in Operating Assets &amp; Liabibilities:</t>
  </si>
  <si>
    <t>Accounts Receivable</t>
  </si>
  <si>
    <t xml:space="preserve">Add Decrease in Accounts Receivable </t>
  </si>
  <si>
    <t>-</t>
  </si>
  <si>
    <t>Inventories</t>
  </si>
  <si>
    <t xml:space="preserve">Subtract Increase in Inventories </t>
  </si>
  <si>
    <t>Creditors and Other Payables</t>
  </si>
  <si>
    <t>Add increase in accounts payable</t>
  </si>
  <si>
    <t>Accrued Expenses</t>
  </si>
  <si>
    <t xml:space="preserve">Accrued Expenses </t>
  </si>
  <si>
    <t>Net cash provided by Operating Activites</t>
  </si>
  <si>
    <t>Proceeds from disposal of fixed Assets</t>
  </si>
  <si>
    <t>Acquisition of Property, Plant and Equipment</t>
  </si>
  <si>
    <t>Disposal of Property, Plant and Equipment</t>
  </si>
  <si>
    <t>Dividend Received</t>
  </si>
  <si>
    <t>Fixed Deposit Receipts(FDR)</t>
  </si>
  <si>
    <t>Investment in marketable securitirs</t>
  </si>
  <si>
    <t>Gain on sale of Marketable Securities</t>
  </si>
  <si>
    <t>Intercompany current account</t>
  </si>
  <si>
    <t>Interest received</t>
  </si>
  <si>
    <t>Net Cash Used in Investing Activities</t>
  </si>
  <si>
    <t>Free cash Flow before Interest Adjusment</t>
  </si>
  <si>
    <t>Add back after-tax</t>
  </si>
  <si>
    <t>Addback Interest</t>
  </si>
  <si>
    <t>Net working capital</t>
  </si>
  <si>
    <t>Current Assets</t>
  </si>
  <si>
    <t>Current Liabilities</t>
  </si>
  <si>
    <t>NWC</t>
  </si>
  <si>
    <t>Net Capital Spending</t>
  </si>
  <si>
    <t>Acquisition of PP&amp;E</t>
  </si>
  <si>
    <t>Proceeds and disposal</t>
  </si>
  <si>
    <t>NCS</t>
  </si>
  <si>
    <t>CFFA = OCF − NCS − ΔNWC</t>
  </si>
  <si>
    <t>OCF</t>
  </si>
  <si>
    <t>ΔNWC</t>
  </si>
  <si>
    <t>CFFA</t>
  </si>
  <si>
    <t>Valuation of Kohinoor (FCF Model)</t>
  </si>
  <si>
    <t>FCF</t>
  </si>
  <si>
    <t>Perpetual growth rate</t>
  </si>
  <si>
    <t xml:space="preserve">Growth </t>
  </si>
  <si>
    <t>FCF Value (years 1–5): = Base FCF × (1+Growth)^n</t>
  </si>
  <si>
    <t>Terminal value</t>
  </si>
  <si>
    <t>FOR NPV</t>
  </si>
  <si>
    <t># of year</t>
  </si>
  <si>
    <t>FCF Value</t>
  </si>
  <si>
    <t>Total FCF</t>
  </si>
  <si>
    <t>Discount factor</t>
  </si>
  <si>
    <t>Present Value</t>
  </si>
  <si>
    <t>Terminal Value at year 5- 5666262816</t>
  </si>
  <si>
    <t>Discount factor- 1/(1.1380)ⁿ</t>
  </si>
  <si>
    <t>NPV-</t>
  </si>
  <si>
    <t>Equity Value</t>
  </si>
  <si>
    <t>No. Of shares-</t>
  </si>
  <si>
    <t>Stock price-</t>
  </si>
  <si>
    <t>Market value</t>
  </si>
  <si>
    <t>For the year 2025 (LATEST)</t>
  </si>
  <si>
    <t>CFO</t>
  </si>
  <si>
    <t>Finance Cost (Interest)</t>
  </si>
  <si>
    <t>Proceeds from disposal</t>
  </si>
  <si>
    <t>Total debt 2025</t>
  </si>
  <si>
    <t>Total debt 2024</t>
  </si>
  <si>
    <t>Net borrowing</t>
  </si>
  <si>
    <t>FCFF =</t>
  </si>
  <si>
    <t>CFO + Interest × (1 − Tax Rate) − Net Capital Spending (NCS)</t>
  </si>
  <si>
    <r>
      <rPr>
        <sz val="11"/>
        <color rgb="FF000000"/>
        <rFont val="Calibri"/>
        <charset val="134"/>
      </rPr>
      <t>FCFE =</t>
    </r>
    <r>
      <rPr>
        <b/>
        <sz val="11"/>
        <color rgb="FF000000"/>
        <rFont val="Calibri"/>
        <charset val="134"/>
      </rPr>
      <t xml:space="preserve"> </t>
    </r>
  </si>
  <si>
    <t>CFO − NCS + Net Borrowing</t>
  </si>
  <si>
    <t>Valuation of Kohinoor (FCFF Model)</t>
  </si>
  <si>
    <t>Valuation of Kohinoor (FCFE Model)</t>
  </si>
  <si>
    <t>FCFF</t>
  </si>
  <si>
    <t>FCFE</t>
  </si>
  <si>
    <t>Cost of equity</t>
  </si>
  <si>
    <t>FCFF Value</t>
  </si>
  <si>
    <t>Total FCFF</t>
  </si>
  <si>
    <t>Terminal Value at year 5- 7345479931</t>
  </si>
  <si>
    <t>Terminal Value at year 5- 7718450199</t>
  </si>
  <si>
    <t>Discount factor- 1/(1.1405)ⁿ</t>
  </si>
  <si>
    <t>DDM Gordon Model Valuation</t>
  </si>
  <si>
    <t>Net Profit</t>
  </si>
  <si>
    <t>Average Net Profit Growth</t>
  </si>
  <si>
    <t xml:space="preserve">Dividends </t>
  </si>
  <si>
    <t xml:space="preserve">Dividends Growth Rate </t>
  </si>
  <si>
    <t xml:space="preserve">Total Shares </t>
  </si>
  <si>
    <t>DDM Gordon Model</t>
  </si>
  <si>
    <t>Shares</t>
  </si>
  <si>
    <t>Divid/Share</t>
  </si>
  <si>
    <t>Years</t>
  </si>
  <si>
    <t>Terminal Value</t>
  </si>
  <si>
    <t>CF</t>
  </si>
  <si>
    <t>PV</t>
  </si>
  <si>
    <t>Intrinsic Value</t>
  </si>
  <si>
    <t xml:space="preserve">Market Price </t>
  </si>
  <si>
    <t>Using PE MMM Valuation</t>
  </si>
  <si>
    <t>EPS</t>
  </si>
  <si>
    <t>MKT Price</t>
  </si>
  <si>
    <t>Kohinoor P/E</t>
  </si>
  <si>
    <t>Industry P/E</t>
  </si>
  <si>
    <t xml:space="preserve">Intrinsic Value </t>
  </si>
  <si>
    <t>Du Pont Analysis</t>
  </si>
  <si>
    <t>Net Sales Revenue</t>
  </si>
  <si>
    <t>Profit after Tax for the Period</t>
  </si>
  <si>
    <t>TOTAL ASSETS</t>
  </si>
  <si>
    <t>Total Shareholders' Equity</t>
  </si>
  <si>
    <t>Net Profit Margin</t>
  </si>
  <si>
    <t>Asset Turnover</t>
  </si>
  <si>
    <t>Methodology differs from others due to lack of data</t>
  </si>
  <si>
    <t>Equity Multiplier</t>
  </si>
  <si>
    <t xml:space="preserve">Du Pont </t>
  </si>
  <si>
    <t>Ratio</t>
  </si>
  <si>
    <t>Asset Management &amp; Asset Quality</t>
  </si>
  <si>
    <t>Total Asset Turnover</t>
  </si>
  <si>
    <t>Net Fixed Asset Turnover</t>
  </si>
  <si>
    <t>Equity Turnover</t>
  </si>
  <si>
    <t>Cash Flow &amp; Capital Adequacy</t>
  </si>
  <si>
    <t>Operating Cash Flow to sales</t>
  </si>
  <si>
    <t>Efficiency &amp; Productivity &amp; Capital Strength</t>
  </si>
  <si>
    <t>Inventory Turnover</t>
  </si>
  <si>
    <t>Inventory Processing Period (Days)</t>
  </si>
  <si>
    <t>Liquidity &amp; Leverage</t>
  </si>
  <si>
    <t>Current Ratio</t>
  </si>
  <si>
    <t>Quick Ratio</t>
  </si>
  <si>
    <t>Cash Ratio</t>
  </si>
  <si>
    <t>Financial Leverage</t>
  </si>
  <si>
    <t>Profitability &amp; Investment Return</t>
  </si>
  <si>
    <t>Gross Profit Margin</t>
  </si>
  <si>
    <t>Operating Profit Margin</t>
  </si>
  <si>
    <t>Return on Equity (ROE)</t>
  </si>
  <si>
    <t>Return on Assets (ROA)</t>
  </si>
  <si>
    <t>Particulars</t>
  </si>
  <si>
    <t>Cost of Goods Sold</t>
  </si>
  <si>
    <t>Gross Profit</t>
  </si>
  <si>
    <t>Administrative Expenses</t>
  </si>
  <si>
    <t>Selling, Marketing and Distribution Expenses</t>
  </si>
  <si>
    <t>Profit from Operations</t>
  </si>
  <si>
    <t>Other Income</t>
  </si>
  <si>
    <t>Finance Cost</t>
  </si>
  <si>
    <t>Profit Before Contribution to WPPF &amp; Welfare Funds</t>
  </si>
  <si>
    <t>Contribution to WPPF &amp; Welfare Funds</t>
  </si>
  <si>
    <t>Current Tax</t>
  </si>
  <si>
    <t>Deferred Tax Income/ (Expense)</t>
  </si>
  <si>
    <t>Earnings Per Share (EPS)</t>
  </si>
  <si>
    <t>Property, Plant and Equipment</t>
  </si>
  <si>
    <t>Right of use assets</t>
  </si>
  <si>
    <t>Total Non-Current Assets</t>
  </si>
  <si>
    <t>Loans, Advances and Deposits</t>
  </si>
  <si>
    <t>Short Term Investment</t>
  </si>
  <si>
    <t>Investment in shares and others</t>
  </si>
  <si>
    <t>Cash and Cash Equivalents</t>
  </si>
  <si>
    <t>Total Current Assets</t>
  </si>
  <si>
    <t>Share Capital</t>
  </si>
  <si>
    <t>FVOCI Reserve</t>
  </si>
  <si>
    <t>Revaluation Surplus</t>
  </si>
  <si>
    <t>Retained Earnings</t>
  </si>
  <si>
    <t>Long Term Borrowings</t>
  </si>
  <si>
    <t>Liability for Gratuity and WPPF &amp; Welfare Funds</t>
  </si>
  <si>
    <t>Long term Lease liability</t>
  </si>
  <si>
    <t>Deferred Tax Liability</t>
  </si>
  <si>
    <t>Total Non-Current Liabilities</t>
  </si>
  <si>
    <t>Short Term Borrowings/Finance</t>
  </si>
  <si>
    <t>Lease finance-current portion</t>
  </si>
  <si>
    <t>WPPF/Employee benefit obligation</t>
  </si>
  <si>
    <t>Dividend Payable</t>
  </si>
  <si>
    <t>Total Current Liabilities</t>
  </si>
  <si>
    <t>TOTAL EQUITY AND LIABILITIES</t>
  </si>
  <si>
    <t>Net Asset Value (NAV)</t>
  </si>
  <si>
    <t>Restated Net Asset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</si>
</sst>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;\(#,##0.00\)"/>
    <numFmt numFmtId="179" formatCode="0.0"/>
    <numFmt numFmtId="180" formatCode="#,##0;\(#,##0\)"/>
    <numFmt numFmtId="181" formatCode="_(* #,##0_);_(* \(#,##0\);_(* &quot;-&quot;??_);_(@_)"/>
  </numFmts>
  <fonts count="46">
    <font>
      <sz val="11"/>
      <color theme="1"/>
      <name val="Calibri"/>
      <charset val="1"/>
    </font>
    <font>
      <b/>
      <sz val="10"/>
      <color rgb="FF545453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FF0000"/>
      <name val="Arial"/>
      <charset val="1"/>
    </font>
    <font>
      <b/>
      <sz val="10"/>
      <color rgb="FFFF0000"/>
      <name val="Arial"/>
      <charset val="1"/>
    </font>
    <font>
      <b/>
      <sz val="11"/>
      <color theme="1"/>
      <name val="Calibri"/>
      <charset val="134"/>
    </font>
    <font>
      <b/>
      <sz val="11"/>
      <color theme="1"/>
      <name val="Calibri"/>
      <charset val="1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2"/>
      <color theme="1"/>
      <name val="Calibri"/>
      <charset val="1"/>
    </font>
    <font>
      <b/>
      <sz val="12"/>
      <color theme="1"/>
      <name val="Calibri"/>
      <charset val="1"/>
    </font>
    <font>
      <sz val="11"/>
      <color rgb="FF000000"/>
      <name val="Calibri"/>
      <charset val="1"/>
    </font>
    <font>
      <sz val="20"/>
      <color theme="1"/>
      <name val="Calibri"/>
      <charset val="1"/>
    </font>
    <font>
      <b/>
      <sz val="11"/>
      <color rgb="FF000000"/>
      <name val="Calibri"/>
      <charset val="134"/>
    </font>
    <font>
      <b/>
      <sz val="20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"/>
    </font>
    <font>
      <sz val="10"/>
      <color rgb="FF000000"/>
      <name val="Arial"/>
      <charset val="134"/>
    </font>
    <font>
      <i/>
      <sz val="10"/>
      <color rgb="FF808080"/>
      <name val="Arial"/>
      <charset val="1"/>
    </font>
    <font>
      <u/>
      <sz val="12"/>
      <color theme="1"/>
      <name val="Calibri"/>
      <charset val="1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20" borderId="1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1" borderId="15" applyNumberFormat="0" applyAlignment="0" applyProtection="0">
      <alignment vertical="center"/>
    </xf>
    <xf numFmtId="0" fontId="36" fillId="22" borderId="16" applyNumberFormat="0" applyAlignment="0" applyProtection="0">
      <alignment vertical="center"/>
    </xf>
    <xf numFmtId="0" fontId="37" fillId="22" borderId="15" applyNumberFormat="0" applyAlignment="0" applyProtection="0">
      <alignment vertical="center"/>
    </xf>
    <xf numFmtId="0" fontId="38" fillId="23" borderId="17" applyNumberFormat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</cellStyleXfs>
  <cellXfs count="1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8" fontId="2" fillId="0" borderId="0" xfId="0" applyNumberFormat="1" applyFont="1" applyAlignment="1">
      <alignment horizontal="right"/>
    </xf>
    <xf numFmtId="0" fontId="3" fillId="0" borderId="0" xfId="0" applyFont="1"/>
    <xf numFmtId="178" fontId="3" fillId="0" borderId="0" xfId="0" applyNumberFormat="1" applyFont="1" applyAlignment="1">
      <alignment horizontal="right"/>
    </xf>
    <xf numFmtId="178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8" fontId="5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8" fillId="3" borderId="1" xfId="0" applyFont="1" applyFill="1" applyBorder="1" applyAlignment="1"/>
    <xf numFmtId="0" fontId="9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/>
    </xf>
    <xf numFmtId="10" fontId="0" fillId="4" borderId="1" xfId="0" applyNumberFormat="1" applyFill="1" applyBorder="1" applyAlignment="1">
      <alignment horizontal="center"/>
    </xf>
    <xf numFmtId="0" fontId="6" fillId="3" borderId="1" xfId="0" applyFont="1" applyFill="1" applyBorder="1" applyAlignment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7" fillId="0" borderId="0" xfId="0" applyFont="1"/>
    <xf numFmtId="0" fontId="12" fillId="0" borderId="0" xfId="0" applyFont="1" applyFill="1" applyBorder="1" applyAlignment="1"/>
    <xf numFmtId="3" fontId="12" fillId="0" borderId="0" xfId="0" applyNumberFormat="1" applyFont="1" applyFill="1" applyBorder="1" applyAlignment="1"/>
    <xf numFmtId="2" fontId="0" fillId="0" borderId="0" xfId="0" applyNumberFormat="1"/>
    <xf numFmtId="0" fontId="3" fillId="2" borderId="0" xfId="0" applyFont="1" applyFill="1" applyBorder="1" applyAlignment="1"/>
    <xf numFmtId="2" fontId="0" fillId="2" borderId="0" xfId="0" applyNumberFormat="1" applyFill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Border="1"/>
    <xf numFmtId="0" fontId="0" fillId="6" borderId="5" xfId="0" applyFill="1" applyBorder="1"/>
    <xf numFmtId="0" fontId="0" fillId="7" borderId="0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center"/>
    </xf>
    <xf numFmtId="0" fontId="13" fillId="2" borderId="0" xfId="0" applyFont="1" applyFill="1" applyAlignment="1">
      <alignment horizontal="center"/>
    </xf>
    <xf numFmtId="0" fontId="0" fillId="8" borderId="0" xfId="0" applyFill="1"/>
    <xf numFmtId="0" fontId="7" fillId="2" borderId="0" xfId="0" applyFont="1" applyFill="1"/>
    <xf numFmtId="4" fontId="14" fillId="8" borderId="0" xfId="0" applyNumberFormat="1" applyFont="1" applyFill="1" applyBorder="1" applyAlignment="1"/>
    <xf numFmtId="3" fontId="0" fillId="0" borderId="0" xfId="0" applyNumberFormat="1"/>
    <xf numFmtId="0" fontId="0" fillId="0" borderId="10" xfId="0" applyBorder="1"/>
    <xf numFmtId="2" fontId="0" fillId="0" borderId="10" xfId="0" applyNumberFormat="1" applyBorder="1"/>
    <xf numFmtId="3" fontId="0" fillId="0" borderId="10" xfId="0" applyNumberFormat="1" applyBorder="1"/>
    <xf numFmtId="0" fontId="0" fillId="0" borderId="11" xfId="0" applyBorder="1"/>
    <xf numFmtId="0" fontId="0" fillId="0" borderId="11" xfId="0" applyNumberFormat="1" applyBorder="1"/>
    <xf numFmtId="9" fontId="7" fillId="0" borderId="0" xfId="0" applyNumberFormat="1" applyFont="1"/>
    <xf numFmtId="10" fontId="7" fillId="0" borderId="0" xfId="0" applyNumberFormat="1" applyFont="1"/>
    <xf numFmtId="0" fontId="15" fillId="9" borderId="0" xfId="0" applyFont="1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4" fontId="14" fillId="0" borderId="0" xfId="0" applyNumberFormat="1" applyFont="1" applyFill="1" applyBorder="1" applyAlignment="1"/>
    <xf numFmtId="3" fontId="16" fillId="0" borderId="0" xfId="0" applyNumberFormat="1" applyFont="1" applyFill="1" applyBorder="1" applyAlignment="1"/>
    <xf numFmtId="3" fontId="7" fillId="0" borderId="0" xfId="0" applyNumberFormat="1" applyFont="1"/>
    <xf numFmtId="179" fontId="7" fillId="0" borderId="0" xfId="0" applyNumberFormat="1" applyFont="1"/>
    <xf numFmtId="0" fontId="17" fillId="0" borderId="0" xfId="0" applyFont="1"/>
    <xf numFmtId="0" fontId="16" fillId="0" borderId="0" xfId="0" applyFont="1"/>
    <xf numFmtId="4" fontId="7" fillId="0" borderId="0" xfId="0" applyNumberFormat="1" applyFont="1"/>
    <xf numFmtId="0" fontId="18" fillId="10" borderId="0" xfId="0" applyFont="1" applyFill="1"/>
    <xf numFmtId="0" fontId="0" fillId="10" borderId="0" xfId="0" applyFill="1"/>
    <xf numFmtId="0" fontId="0" fillId="11" borderId="0" xfId="0" applyFill="1"/>
    <xf numFmtId="1" fontId="0" fillId="11" borderId="0" xfId="0" applyNumberFormat="1" applyFill="1"/>
    <xf numFmtId="0" fontId="7" fillId="10" borderId="0" xfId="0" applyFont="1" applyFill="1"/>
    <xf numFmtId="1" fontId="7" fillId="10" borderId="0" xfId="0" applyNumberFormat="1" applyFont="1" applyFill="1"/>
    <xf numFmtId="3" fontId="7" fillId="10" borderId="0" xfId="0" applyNumberFormat="1" applyFont="1" applyFill="1" applyAlignment="1">
      <alignment horizontal="right"/>
    </xf>
    <xf numFmtId="4" fontId="0" fillId="0" borderId="0" xfId="0" applyNumberFormat="1"/>
    <xf numFmtId="0" fontId="16" fillId="10" borderId="0" xfId="0" applyFont="1" applyFill="1" applyAlignment="1">
      <alignment horizontal="right"/>
    </xf>
    <xf numFmtId="1" fontId="7" fillId="0" borderId="0" xfId="0" applyNumberFormat="1" applyFont="1"/>
    <xf numFmtId="180" fontId="3" fillId="0" borderId="0" xfId="0" applyNumberFormat="1" applyFont="1" applyAlignment="1">
      <alignment horizontal="right"/>
    </xf>
    <xf numFmtId="180" fontId="7" fillId="0" borderId="0" xfId="0" applyNumberFormat="1" applyFont="1"/>
    <xf numFmtId="3" fontId="14" fillId="0" borderId="0" xfId="0" applyNumberFormat="1" applyFont="1" applyFill="1" applyBorder="1" applyAlignment="1"/>
    <xf numFmtId="4" fontId="12" fillId="0" borderId="0" xfId="0" applyNumberFormat="1" applyFont="1" applyFill="1" applyBorder="1" applyAlignment="1"/>
    <xf numFmtId="0" fontId="12" fillId="2" borderId="0" xfId="0" applyFont="1" applyFill="1" applyBorder="1" applyAlignment="1"/>
    <xf numFmtId="0" fontId="12" fillId="12" borderId="0" xfId="0" applyFont="1" applyFill="1" applyBorder="1" applyAlignment="1"/>
    <xf numFmtId="4" fontId="19" fillId="0" borderId="0" xfId="0" applyNumberFormat="1" applyFont="1" applyFill="1" applyBorder="1" applyAlignment="1"/>
    <xf numFmtId="0" fontId="20" fillId="0" borderId="0" xfId="0" applyFont="1"/>
    <xf numFmtId="0" fontId="14" fillId="5" borderId="0" xfId="0" applyFont="1" applyFill="1" applyBorder="1" applyAlignment="1"/>
    <xf numFmtId="0" fontId="21" fillId="0" borderId="0" xfId="0" applyFont="1" applyFill="1" applyBorder="1" applyAlignment="1"/>
    <xf numFmtId="4" fontId="21" fillId="0" borderId="0" xfId="0" applyNumberFormat="1" applyFont="1" applyFill="1" applyBorder="1" applyAlignment="1"/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12" fillId="0" borderId="0" xfId="0" applyFont="1"/>
    <xf numFmtId="10" fontId="0" fillId="0" borderId="0" xfId="0" applyNumberFormat="1" applyAlignment="1">
      <alignment horizontal="right"/>
    </xf>
    <xf numFmtId="0" fontId="22" fillId="0" borderId="0" xfId="0" applyFont="1"/>
    <xf numFmtId="3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  <xf numFmtId="0" fontId="0" fillId="13" borderId="0" xfId="0" applyFill="1"/>
    <xf numFmtId="181" fontId="0" fillId="0" borderId="0" xfId="0" applyNumberFormat="1"/>
    <xf numFmtId="0" fontId="23" fillId="0" borderId="0" xfId="0" applyFont="1"/>
    <xf numFmtId="0" fontId="11" fillId="5" borderId="0" xfId="0" applyFont="1" applyFill="1"/>
    <xf numFmtId="0" fontId="24" fillId="14" borderId="0" xfId="0" applyFont="1" applyFill="1"/>
    <xf numFmtId="0" fontId="24" fillId="15" borderId="0" xfId="0" applyFont="1" applyFill="1"/>
    <xf numFmtId="0" fontId="24" fillId="16" borderId="0" xfId="0" applyFont="1" applyFill="1"/>
    <xf numFmtId="0" fontId="24" fillId="17" borderId="0" xfId="0" applyFont="1" applyFill="1"/>
    <xf numFmtId="39" fontId="0" fillId="0" borderId="0" xfId="0" applyNumberFormat="1"/>
    <xf numFmtId="0" fontId="24" fillId="0" borderId="0" xfId="0" applyFont="1"/>
    <xf numFmtId="0" fontId="24" fillId="11" borderId="0" xfId="0" applyFont="1" applyFill="1"/>
    <xf numFmtId="39" fontId="0" fillId="11" borderId="0" xfId="0" applyNumberFormat="1" applyFill="1"/>
    <xf numFmtId="0" fontId="24" fillId="10" borderId="0" xfId="0" applyFont="1" applyFill="1"/>
    <xf numFmtId="10" fontId="0" fillId="10" borderId="0" xfId="0" applyNumberFormat="1" applyFill="1"/>
    <xf numFmtId="0" fontId="24" fillId="18" borderId="0" xfId="0" applyFont="1" applyFill="1"/>
    <xf numFmtId="0" fontId="6" fillId="19" borderId="0" xfId="0" applyFont="1" applyFill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24" fillId="6" borderId="0" xfId="0" applyFont="1" applyFill="1" applyAlignment="1">
      <alignment horizontal="center"/>
    </xf>
    <xf numFmtId="10" fontId="25" fillId="0" borderId="0" xfId="3" applyNumberFormat="1" applyFont="1" applyFill="1"/>
    <xf numFmtId="0" fontId="12" fillId="0" borderId="0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A3DAD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45453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 PONT</a:t>
            </a:r>
            <a:endParaRPr lang="en-US"/>
          </a:p>
        </c:rich>
      </c:tx>
      <c:layout/>
      <c:overlay val="0"/>
      <c:spPr>
        <a:solidFill>
          <a:srgbClr val="000000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 Pont'!$A$13</c:f>
              <c:strCache>
                <c:ptCount val="1"/>
                <c:pt idx="0">
                  <c:v>Du Pont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'Du Pont'!$B$8:$G$8</c:f>
              <c:numCache>
                <c:formatCode>General</c:formatCode>
                <c:ptCount val="6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numCache>
            </c:numRef>
          </c:cat>
          <c:val>
            <c:numRef>
              <c:f>'Du Pont'!$B$13:$G$13</c:f>
              <c:numCache>
                <c:formatCode>0.00</c:formatCode>
                <c:ptCount val="6"/>
                <c:pt idx="0">
                  <c:v>0.280886512007374</c:v>
                </c:pt>
                <c:pt idx="1">
                  <c:v>0.232577149959609</c:v>
                </c:pt>
                <c:pt idx="2">
                  <c:v>0.223838844375883</c:v>
                </c:pt>
                <c:pt idx="3">
                  <c:v>0.226325514798999</c:v>
                </c:pt>
                <c:pt idx="4">
                  <c:v>0.211282495004268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054151"/>
        <c:axId val="466068487"/>
      </c:barChart>
      <c:catAx>
        <c:axId val="466054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</a:p>
        </c:txPr>
        <c:crossAx val="466068487"/>
        <c:crosses val="autoZero"/>
        <c:auto val="1"/>
        <c:lblAlgn val="ctr"/>
        <c:lblOffset val="100"/>
        <c:noMultiLvlLbl val="0"/>
      </c:catAx>
      <c:valAx>
        <c:axId val="466068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</a:p>
        </c:txPr>
        <c:crossAx val="466054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5eb1ca-3fda-429e-9d10-394f1aa13ca6}"/>
      </c:ext>
    </c:extLst>
  </c:chart>
  <c:spPr>
    <a:solidFill>
      <a:srgbClr val="BFBFB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 PONT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 Pont'!$A$9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31869B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'Du Pont'!$B$9:$G$9</c:f>
              <c:numCache>
                <c:formatCode>0.00%</c:formatCode>
                <c:ptCount val="6"/>
                <c:pt idx="0">
                  <c:v>0.0976883293842665</c:v>
                </c:pt>
                <c:pt idx="1">
                  <c:v>0.0880165519567334</c:v>
                </c:pt>
                <c:pt idx="2">
                  <c:v>0.0704173677075695</c:v>
                </c:pt>
                <c:pt idx="3">
                  <c:v>0.0673226899694233</c:v>
                </c:pt>
                <c:pt idx="4">
                  <c:v>0.0561543274748239</c:v>
                </c:pt>
                <c:pt idx="5">
                  <c:v>0.0430725009964195</c:v>
                </c:pt>
              </c:numCache>
            </c:numRef>
          </c:val>
        </c:ser>
        <c:ser>
          <c:idx val="1"/>
          <c:order val="1"/>
          <c:tx>
            <c:strRef>
              <c:f>'Du Pont'!$A$10</c:f>
              <c:strCache>
                <c:ptCount val="1"/>
                <c:pt idx="0">
                  <c:v>Asset Turnover</c:v>
                </c:pt>
              </c:strCache>
            </c:strRef>
          </c:tx>
          <c:spPr>
            <a:solidFill>
              <a:srgbClr val="60497A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'Du Pont'!$B$10:$G$10</c:f>
              <c:numCache>
                <c:formatCode>0.00</c:formatCode>
                <c:ptCount val="6"/>
                <c:pt idx="0">
                  <c:v>2.0236632452017</c:v>
                </c:pt>
                <c:pt idx="1">
                  <c:v>1.81455979876415</c:v>
                </c:pt>
                <c:pt idx="2">
                  <c:v>1.69374081733289</c:v>
                </c:pt>
                <c:pt idx="3">
                  <c:v>1.72654598751685</c:v>
                </c:pt>
                <c:pt idx="4">
                  <c:v>1.82571977190131</c:v>
                </c:pt>
                <c:pt idx="5">
                  <c:v>3.85712853190813</c:v>
                </c:pt>
              </c:numCache>
            </c:numRef>
          </c:val>
        </c:ser>
        <c:ser>
          <c:idx val="2"/>
          <c:order val="2"/>
          <c:tx>
            <c:strRef>
              <c:f>'Du Pont'!$A$11</c:f>
              <c:strCache>
                <c:ptCount val="1"/>
                <c:pt idx="0">
                  <c:v>Equity Multiplier</c:v>
                </c:pt>
              </c:strCache>
            </c:strRef>
          </c:tx>
          <c:spPr>
            <a:solidFill>
              <a:srgbClr val="76933C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'Du Pont'!$B$11:$G$11</c:f>
              <c:numCache>
                <c:formatCode>0.00</c:formatCode>
                <c:ptCount val="6"/>
                <c:pt idx="0">
                  <c:v>1.42085565036337</c:v>
                </c:pt>
                <c:pt idx="1">
                  <c:v>1.45623480999816</c:v>
                </c:pt>
                <c:pt idx="2">
                  <c:v>1.87675989697077</c:v>
                </c:pt>
                <c:pt idx="3">
                  <c:v>1.94712532722606</c:v>
                </c:pt>
                <c:pt idx="4">
                  <c:v>2.06084897967411</c:v>
                </c:pt>
                <c:pt idx="5">
                  <c:v>2.03051455954418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949511"/>
        <c:axId val="908952583"/>
      </c:barChart>
      <c:catAx>
        <c:axId val="908949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</a:p>
        </c:txPr>
        <c:crossAx val="908952583"/>
        <c:crosses val="autoZero"/>
        <c:auto val="1"/>
        <c:lblAlgn val="ctr"/>
        <c:lblOffset val="100"/>
        <c:noMultiLvlLbl val="0"/>
      </c:catAx>
      <c:valAx>
        <c:axId val="908952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</a:p>
        </c:txPr>
        <c:crossAx val="90894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879a81-76b0-4359-b168-0126189b21be}"/>
      </c:ext>
    </c:extLst>
  </c:chart>
  <c:spPr>
    <a:solidFill>
      <a:srgbClr val="BFBFBF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Profitability &amp; Investment Return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55531496062992"/>
          <c:y val="0.171712962962963"/>
          <c:w val="0.883891294838145"/>
          <c:h val="0.564127661125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2025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Ratio!$A$18:$A$22</c:f>
              <c:strCache>
                <c:ptCount val="5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  <c:pt idx="3">
                  <c:v>Return on Equity (ROE)</c:v>
                </c:pt>
                <c:pt idx="4">
                  <c:v>Return on Assets (ROA)</c:v>
                </c:pt>
              </c:strCache>
            </c:strRef>
          </c:cat>
          <c:val>
            <c:numRef>
              <c:f>Ratio!$B$18:$B$22</c:f>
              <c:numCache>
                <c:formatCode>General</c:formatCode>
                <c:ptCount val="5"/>
                <c:pt idx="0">
                  <c:v>0.2825</c:v>
                </c:pt>
                <c:pt idx="1">
                  <c:v>0.1356</c:v>
                </c:pt>
                <c:pt idx="2">
                  <c:v>0.0977</c:v>
                </c:pt>
                <c:pt idx="3">
                  <c:v>0.2841</c:v>
                </c:pt>
                <c:pt idx="4">
                  <c:v>0.1977</c:v>
                </c:pt>
              </c:numCache>
            </c:numRef>
          </c:val>
        </c:ser>
        <c:ser>
          <c:idx val="1"/>
          <c:order val="1"/>
          <c:tx>
            <c:strRef>
              <c:f>2024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59595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Ratio!$A$18:$A$22</c:f>
              <c:strCache>
                <c:ptCount val="5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  <c:pt idx="3">
                  <c:v>Return on Equity (ROE)</c:v>
                </c:pt>
                <c:pt idx="4">
                  <c:v>Return on Assets (ROA)</c:v>
                </c:pt>
              </c:strCache>
            </c:strRef>
          </c:cat>
          <c:val>
            <c:numRef>
              <c:f>Ratio!$C$18:$C$22</c:f>
              <c:numCache>
                <c:formatCode>General</c:formatCode>
                <c:ptCount val="5"/>
                <c:pt idx="0">
                  <c:v>0.2651</c:v>
                </c:pt>
                <c:pt idx="1">
                  <c:v>0.1289</c:v>
                </c:pt>
                <c:pt idx="2">
                  <c:v>0.088</c:v>
                </c:pt>
                <c:pt idx="3">
                  <c:v>0.2643</c:v>
                </c:pt>
                <c:pt idx="4">
                  <c:v>0.1597</c:v>
                </c:pt>
              </c:numCache>
            </c:numRef>
          </c:val>
        </c:ser>
        <c:ser>
          <c:idx val="2"/>
          <c:order val="2"/>
          <c:tx>
            <c:strRef>
              <c:f>2023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Ratio!$A$18:$A$22</c:f>
              <c:strCache>
                <c:ptCount val="5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  <c:pt idx="3">
                  <c:v>Return on Equity (ROE)</c:v>
                </c:pt>
                <c:pt idx="4">
                  <c:v>Return on Assets (ROA)</c:v>
                </c:pt>
              </c:strCache>
            </c:strRef>
          </c:cat>
          <c:val>
            <c:numRef>
              <c:f>Ratio!$D$18:$D$22</c:f>
              <c:numCache>
                <c:formatCode>General</c:formatCode>
                <c:ptCount val="5"/>
                <c:pt idx="0">
                  <c:v>0.2218</c:v>
                </c:pt>
                <c:pt idx="1">
                  <c:v>0.0976</c:v>
                </c:pt>
                <c:pt idx="2">
                  <c:v>0.0704</c:v>
                </c:pt>
                <c:pt idx="3">
                  <c:v>0.2276</c:v>
                </c:pt>
                <c:pt idx="4">
                  <c:v>0.1193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690991"/>
        <c:axId val="832521679"/>
      </c:barChart>
      <c:catAx>
        <c:axId val="88269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32521679"/>
        <c:crosses val="autoZero"/>
        <c:auto val="1"/>
        <c:lblAlgn val="ctr"/>
        <c:lblOffset val="100"/>
        <c:noMultiLvlLbl val="0"/>
      </c:catAx>
      <c:valAx>
        <c:axId val="8325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826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54c311-c297-4b62-954b-488dc3ce75e6}"/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Asset Management &amp; Asset Quality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Ratio!$A$3</c:f>
              <c:strCache>
                <c:ptCount val="1"/>
                <c:pt idx="0">
                  <c:v>Total Asset Turnover</c:v>
                </c:pt>
              </c:strCache>
            </c:strRef>
          </c:tx>
          <c:spPr>
            <a:solidFill>
              <a:srgbClr val="DDD9C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Ratio!$B$3:$D$3</c:f>
              <c:numCache>
                <c:formatCode>General</c:formatCode>
                <c:ptCount val="3"/>
                <c:pt idx="0">
                  <c:v>2.024</c:v>
                </c:pt>
                <c:pt idx="1">
                  <c:v>1.815</c:v>
                </c:pt>
                <c:pt idx="2">
                  <c:v>1.694</c:v>
                </c:pt>
              </c:numCache>
            </c:numRef>
          </c:val>
        </c:ser>
        <c:ser>
          <c:idx val="1"/>
          <c:order val="1"/>
          <c:tx>
            <c:strRef>
              <c:f>Ratio!$A$4</c:f>
              <c:strCache>
                <c:ptCount val="1"/>
                <c:pt idx="0">
                  <c:v>Net Fixed Asset Turnover</c:v>
                </c:pt>
              </c:strCache>
            </c:strRef>
          </c:tx>
          <c:spPr>
            <a:solidFill>
              <a:srgbClr val="8DB4E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Ratio!$B$4:$D$4</c:f>
              <c:numCache>
                <c:formatCode>General</c:formatCode>
                <c:ptCount val="3"/>
                <c:pt idx="0">
                  <c:v>21.633</c:v>
                </c:pt>
                <c:pt idx="1">
                  <c:v>19.868</c:v>
                </c:pt>
                <c:pt idx="2">
                  <c:v>17.729</c:v>
                </c:pt>
              </c:numCache>
            </c:numRef>
          </c:val>
        </c:ser>
        <c:ser>
          <c:idx val="2"/>
          <c:order val="2"/>
          <c:tx>
            <c:strRef>
              <c:f>Ratio!$A$5</c:f>
              <c:strCache>
                <c:ptCount val="1"/>
                <c:pt idx="0">
                  <c:v>Equity Turnover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Ratio!$B$5:$D$5</c:f>
              <c:numCache>
                <c:formatCode>General</c:formatCode>
                <c:ptCount val="3"/>
                <c:pt idx="0">
                  <c:v>2.908</c:v>
                </c:pt>
                <c:pt idx="1">
                  <c:v>3.003</c:v>
                </c:pt>
                <c:pt idx="2">
                  <c:v>3.232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1135215"/>
        <c:axId val="832542319"/>
      </c:barChart>
      <c:catAx>
        <c:axId val="94113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32542319"/>
        <c:crosses val="autoZero"/>
        <c:auto val="1"/>
        <c:lblAlgn val="ctr"/>
        <c:lblOffset val="100"/>
        <c:noMultiLvlLbl val="0"/>
      </c:catAx>
      <c:valAx>
        <c:axId val="83254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41135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GB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4104de-bf36-42ae-bde3-949200b1287e}"/>
      </c:ext>
    </c:extLst>
  </c:chart>
  <c:spPr>
    <a:solidFill>
      <a:srgbClr val="FFFFFF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Efficiency &amp; Productivity &amp; Capital Strength</a:t>
            </a:r>
            <a:endParaRPr lang="en-US" b="1"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7580927384077"/>
          <c:y val="0.176342592592593"/>
          <c:w val="0.890196850393701"/>
          <c:h val="0.6149843248760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Ratio!$A$9</c:f>
              <c:strCache>
                <c:ptCount val="1"/>
                <c:pt idx="0">
                  <c:v>Inventory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26B0A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Ratio!$B$9:$D$9</c:f>
              <c:numCache>
                <c:formatCode>General</c:formatCode>
                <c:ptCount val="3"/>
                <c:pt idx="0">
                  <c:v>3.426</c:v>
                </c:pt>
                <c:pt idx="1">
                  <c:v>2.99</c:v>
                </c:pt>
                <c:pt idx="2">
                  <c:v>2.968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Ratio!$A$10</c:f>
              <c:strCache>
                <c:ptCount val="1"/>
                <c:pt idx="0">
                  <c:v>Inventory Processing Period (Days)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Ratio!$B$10:$D$10</c:f>
              <c:numCache>
                <c:formatCode>General</c:formatCode>
                <c:ptCount val="3"/>
                <c:pt idx="0">
                  <c:v>106.54</c:v>
                </c:pt>
                <c:pt idx="1">
                  <c:v>122.06</c:v>
                </c:pt>
                <c:pt idx="2">
                  <c:v>122.98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806431"/>
        <c:axId val="832556239"/>
      </c:scatterChart>
      <c:valAx>
        <c:axId val="92580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832556239"/>
        <c:crosses val="autoZero"/>
        <c:crossBetween val="midCat"/>
      </c:valAx>
      <c:valAx>
        <c:axId val="8325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925806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826c68-83ff-43a7-9b00-dd4b4e399400}"/>
      </c:ext>
    </c:extLst>
  </c:chart>
  <c:spPr>
    <a:solidFill>
      <a:srgbClr val="EBF1D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GB"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Liquidity Ratios</a:t>
            </a:r>
            <a:endParaRPr lang="en-US" sz="1400" b="1" i="0" u="none" strike="noStrike" kern="1200" spc="0" baseline="0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GB"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2025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6609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Ratio!$A$12:$A$16</c:f>
              <c:strCache>
                <c:ptCount val="5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  <c:pt idx="3">
                  <c:v>Financial Leverage</c:v>
                </c:pt>
              </c:strCache>
            </c:strRef>
          </c:cat>
          <c:val>
            <c:numRef>
              <c:f>Ratio!$B$12:$B$16</c:f>
              <c:numCache>
                <c:formatCode>General</c:formatCode>
                <c:ptCount val="5"/>
                <c:pt idx="0">
                  <c:v>4.768</c:v>
                </c:pt>
                <c:pt idx="1">
                  <c:v>2.5</c:v>
                </c:pt>
                <c:pt idx="2">
                  <c:v>1.173</c:v>
                </c:pt>
                <c:pt idx="3">
                  <c:v>1.421</c:v>
                </c:pt>
              </c:numCache>
            </c:numRef>
          </c:val>
        </c:ser>
        <c:ser>
          <c:idx val="1"/>
          <c:order val="1"/>
          <c:tx>
            <c:strRef>
              <c:f>2024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59595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Ratio!$A$12:$A$16</c:f>
              <c:strCache>
                <c:ptCount val="5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  <c:pt idx="3">
                  <c:v>Financial Leverage</c:v>
                </c:pt>
              </c:strCache>
            </c:strRef>
          </c:cat>
          <c:val>
            <c:numRef>
              <c:f>Ratio!$C$12:$C$16</c:f>
              <c:numCache>
                <c:formatCode>General</c:formatCode>
                <c:ptCount val="5"/>
                <c:pt idx="0">
                  <c:v>4.74</c:v>
                </c:pt>
                <c:pt idx="1">
                  <c:v>2.569</c:v>
                </c:pt>
                <c:pt idx="2">
                  <c:v>0.525</c:v>
                </c:pt>
                <c:pt idx="3">
                  <c:v>1.456</c:v>
                </c:pt>
              </c:numCache>
            </c:numRef>
          </c:val>
        </c:ser>
        <c:ser>
          <c:idx val="2"/>
          <c:order val="2"/>
          <c:tx>
            <c:strRef>
              <c:f>2023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Ratio!$A$12:$A$16</c:f>
              <c:strCache>
                <c:ptCount val="5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  <c:pt idx="3">
                  <c:v>Financial Leverage</c:v>
                </c:pt>
              </c:strCache>
            </c:strRef>
          </c:cat>
          <c:val>
            <c:numRef>
              <c:f>Ratio!$D$12:$D$16</c:f>
              <c:numCache>
                <c:formatCode>General</c:formatCode>
                <c:ptCount val="5"/>
                <c:pt idx="0">
                  <c:v>3.061</c:v>
                </c:pt>
                <c:pt idx="1">
                  <c:v>1.473</c:v>
                </c:pt>
                <c:pt idx="2">
                  <c:v>0.205</c:v>
                </c:pt>
                <c:pt idx="3">
                  <c:v>1.877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862111"/>
        <c:axId val="724791599"/>
      </c:barChart>
      <c:catAx>
        <c:axId val="92586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4791599"/>
        <c:crosses val="autoZero"/>
        <c:auto val="1"/>
        <c:lblAlgn val="ctr"/>
        <c:lblOffset val="100"/>
        <c:noMultiLvlLbl val="0"/>
      </c:catAx>
      <c:valAx>
        <c:axId val="72479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86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a6192e-17f4-40a7-8c0a-abe8788e15ea}"/>
      </c:ext>
    </c:extLst>
  </c:chart>
  <c:spPr>
    <a:solidFill>
      <a:srgbClr val="D8E4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161925</xdr:colOff>
      <xdr:row>14</xdr:row>
      <xdr:rowOff>0</xdr:rowOff>
    </xdr:from>
    <xdr:to>
      <xdr:col>6</xdr:col>
      <xdr:colOff>161925</xdr:colOff>
      <xdr:row>28</xdr:row>
      <xdr:rowOff>76200</xdr:rowOff>
    </xdr:to>
    <xdr:graphicFrame>
      <xdr:nvGraphicFramePr>
        <xdr:cNvPr id="17" name="Chart 1"/>
        <xdr:cNvGraphicFramePr/>
      </xdr:nvGraphicFramePr>
      <xdr:xfrm>
        <a:off x="2067560" y="2590800"/>
        <a:ext cx="4787900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0</xdr:row>
      <xdr:rowOff>47625</xdr:rowOff>
    </xdr:from>
    <xdr:to>
      <xdr:col>15</xdr:col>
      <xdr:colOff>114300</xdr:colOff>
      <xdr:row>14</xdr:row>
      <xdr:rowOff>114300</xdr:rowOff>
    </xdr:to>
    <xdr:graphicFrame>
      <xdr:nvGraphicFramePr>
        <xdr:cNvPr id="11" name="Chart 10"/>
        <xdr:cNvGraphicFramePr/>
      </xdr:nvGraphicFramePr>
      <xdr:xfrm>
        <a:off x="8070215" y="47625"/>
        <a:ext cx="4724400" cy="265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263338</xdr:colOff>
      <xdr:row>13</xdr:row>
      <xdr:rowOff>139513</xdr:rowOff>
    </xdr:from>
    <xdr:to>
      <xdr:col>13</xdr:col>
      <xdr:colOff>603997</xdr:colOff>
      <xdr:row>23</xdr:row>
      <xdr:rowOff>177613</xdr:rowOff>
    </xdr:to>
    <xdr:graphicFrame>
      <xdr:nvGraphicFramePr>
        <xdr:cNvPr id="3" name="Chart 2"/>
        <xdr:cNvGraphicFramePr/>
      </xdr:nvGraphicFramePr>
      <xdr:xfrm>
        <a:off x="4442460" y="3574415"/>
        <a:ext cx="4741545" cy="2755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273984</xdr:colOff>
      <xdr:row>2</xdr:row>
      <xdr:rowOff>198904</xdr:rowOff>
    </xdr:from>
    <xdr:to>
      <xdr:col>14</xdr:col>
      <xdr:colOff>561</xdr:colOff>
      <xdr:row>10</xdr:row>
      <xdr:rowOff>125505</xdr:rowOff>
    </xdr:to>
    <xdr:graphicFrame>
      <xdr:nvGraphicFramePr>
        <xdr:cNvPr id="5" name="Chart 4"/>
        <xdr:cNvGraphicFramePr/>
      </xdr:nvGraphicFramePr>
      <xdr:xfrm>
        <a:off x="4453255" y="567055"/>
        <a:ext cx="4755515" cy="244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41461</xdr:colOff>
      <xdr:row>2</xdr:row>
      <xdr:rowOff>217393</xdr:rowOff>
    </xdr:from>
    <xdr:to>
      <xdr:col>22</xdr:col>
      <xdr:colOff>382120</xdr:colOff>
      <xdr:row>10</xdr:row>
      <xdr:rowOff>150718</xdr:rowOff>
    </xdr:to>
    <xdr:graphicFrame>
      <xdr:nvGraphicFramePr>
        <xdr:cNvPr id="6" name="Chart 5"/>
        <xdr:cNvGraphicFramePr/>
      </xdr:nvGraphicFramePr>
      <xdr:xfrm>
        <a:off x="9878695" y="585470"/>
        <a:ext cx="4740910" cy="2447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182655</xdr:colOff>
      <xdr:row>13</xdr:row>
      <xdr:rowOff>153520</xdr:rowOff>
    </xdr:from>
    <xdr:to>
      <xdr:col>22</xdr:col>
      <xdr:colOff>523314</xdr:colOff>
      <xdr:row>23</xdr:row>
      <xdr:rowOff>186017</xdr:rowOff>
    </xdr:to>
    <xdr:graphicFrame>
      <xdr:nvGraphicFramePr>
        <xdr:cNvPr id="7" name="Chart 6"/>
        <xdr:cNvGraphicFramePr/>
      </xdr:nvGraphicFramePr>
      <xdr:xfrm>
        <a:off x="10019665" y="3588385"/>
        <a:ext cx="4741545" cy="2748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5"/>
  <sheetViews>
    <sheetView zoomScale="93" zoomScaleNormal="93" workbookViewId="0">
      <selection activeCell="D12" sqref="D12"/>
    </sheetView>
  </sheetViews>
  <sheetFormatPr defaultColWidth="9" defaultRowHeight="14.5"/>
  <cols>
    <col min="2" max="2" width="19.1363636363636" customWidth="1"/>
    <col min="3" max="3" width="14.7090909090909" customWidth="1"/>
    <col min="4" max="4" width="15" customWidth="1"/>
    <col min="5" max="5" width="15.8545454545455" customWidth="1"/>
    <col min="6" max="6" width="16.2818181818182" customWidth="1"/>
    <col min="7" max="7" width="14.7090909090909" customWidth="1"/>
    <col min="8" max="8" width="15" customWidth="1"/>
    <col min="11" max="11" width="10.7090909090909" customWidth="1"/>
  </cols>
  <sheetData>
    <row r="1" s="21" customFormat="1" ht="15.5" spans="2:8">
      <c r="B1" s="95"/>
      <c r="C1" s="96">
        <v>2020</v>
      </c>
      <c r="D1" s="96">
        <v>2021</v>
      </c>
      <c r="E1" s="96">
        <v>2022</v>
      </c>
      <c r="F1" s="96">
        <v>2023</v>
      </c>
      <c r="G1" s="96">
        <v>2024</v>
      </c>
      <c r="H1" s="96">
        <v>2025</v>
      </c>
    </row>
    <row r="2" spans="2:8">
      <c r="B2" s="97" t="s">
        <v>0</v>
      </c>
      <c r="C2" s="46">
        <v>122609102</v>
      </c>
      <c r="D2" s="46">
        <v>344294926</v>
      </c>
      <c r="E2" s="46">
        <v>226411891</v>
      </c>
      <c r="F2" s="46">
        <v>169562958</v>
      </c>
      <c r="G2" s="3">
        <v>225776005</v>
      </c>
      <c r="H2" s="46">
        <v>291772464</v>
      </c>
    </row>
    <row r="3" spans="2:8">
      <c r="B3" s="97" t="s">
        <v>1</v>
      </c>
      <c r="C3" s="3">
        <v>41853971</v>
      </c>
      <c r="D3" s="3">
        <v>45243385</v>
      </c>
      <c r="E3" s="3">
        <v>47646350</v>
      </c>
      <c r="F3" s="3">
        <v>39949230</v>
      </c>
      <c r="G3" s="3">
        <v>70885229</v>
      </c>
      <c r="H3" s="3">
        <v>475695690</v>
      </c>
    </row>
    <row r="4" spans="2:8">
      <c r="B4" s="98" t="s">
        <v>2</v>
      </c>
      <c r="C4" s="71">
        <f>C2+C3</f>
        <v>164463073</v>
      </c>
      <c r="D4" s="71">
        <f t="shared" ref="D4:H4" si="0">D2+D3</f>
        <v>389538311</v>
      </c>
      <c r="E4" s="71">
        <f t="shared" si="0"/>
        <v>274058241</v>
      </c>
      <c r="F4" s="71">
        <f t="shared" si="0"/>
        <v>209512188</v>
      </c>
      <c r="G4" s="71">
        <f t="shared" si="0"/>
        <v>296661234</v>
      </c>
      <c r="H4" s="71">
        <f t="shared" si="0"/>
        <v>767468154</v>
      </c>
    </row>
    <row r="5" spans="2:8">
      <c r="B5" s="99" t="s">
        <v>3</v>
      </c>
      <c r="C5" s="3">
        <v>145729</v>
      </c>
      <c r="D5" s="3">
        <v>104</v>
      </c>
      <c r="E5" s="3">
        <v>947579</v>
      </c>
      <c r="F5" s="3">
        <v>554910475</v>
      </c>
      <c r="G5" s="3">
        <v>9877428</v>
      </c>
      <c r="H5" s="3">
        <v>0</v>
      </c>
    </row>
    <row r="6" spans="2:8">
      <c r="B6" s="99" t="s">
        <v>4</v>
      </c>
      <c r="C6" s="3">
        <v>326089784</v>
      </c>
      <c r="D6" s="3">
        <v>326089784</v>
      </c>
      <c r="E6" s="3">
        <v>326089784</v>
      </c>
      <c r="F6" s="3">
        <v>526089784</v>
      </c>
      <c r="G6" s="3">
        <v>326089784</v>
      </c>
      <c r="H6" s="3">
        <v>326089784</v>
      </c>
    </row>
    <row r="7" spans="2:8">
      <c r="B7" s="100" t="s">
        <v>5</v>
      </c>
      <c r="C7" s="101">
        <f>C5+C6</f>
        <v>326235513</v>
      </c>
      <c r="D7" s="101">
        <f t="shared" ref="D7:H7" si="1">D5+D6</f>
        <v>326089888</v>
      </c>
      <c r="E7" s="101">
        <f t="shared" si="1"/>
        <v>327037363</v>
      </c>
      <c r="F7" s="101">
        <f t="shared" si="1"/>
        <v>1081000259</v>
      </c>
      <c r="G7" s="101">
        <f t="shared" si="1"/>
        <v>335967212</v>
      </c>
      <c r="H7" s="101">
        <f t="shared" si="1"/>
        <v>326089784</v>
      </c>
    </row>
    <row r="8" spans="2:14">
      <c r="B8" s="102" t="s">
        <v>6</v>
      </c>
      <c r="C8" s="71">
        <f>C4-C7</f>
        <v>-161772440</v>
      </c>
      <c r="D8" s="71">
        <f t="shared" ref="D8:H8" si="2">D4-D7</f>
        <v>63448423</v>
      </c>
      <c r="E8" s="71">
        <f t="shared" si="2"/>
        <v>-52979122</v>
      </c>
      <c r="F8" s="71">
        <f t="shared" si="2"/>
        <v>-871488071</v>
      </c>
      <c r="G8" s="71">
        <f t="shared" si="2"/>
        <v>-39305978</v>
      </c>
      <c r="H8" s="71">
        <f t="shared" si="2"/>
        <v>441378370</v>
      </c>
      <c r="I8" s="108" t="s">
        <v>7</v>
      </c>
      <c r="J8" s="108"/>
      <c r="K8" s="108"/>
      <c r="L8" s="109"/>
      <c r="M8" s="110"/>
      <c r="N8" s="110"/>
    </row>
    <row r="9" spans="2:14">
      <c r="B9" s="102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111" t="s">
        <v>9</v>
      </c>
      <c r="J9" s="111"/>
      <c r="K9" s="111"/>
      <c r="L9" s="111"/>
      <c r="M9" s="111"/>
      <c r="N9" s="111"/>
    </row>
    <row r="10" spans="2:8">
      <c r="B10" s="102" t="s">
        <v>10</v>
      </c>
      <c r="C10" s="3">
        <v>6823594</v>
      </c>
      <c r="D10" s="3">
        <v>4175940</v>
      </c>
      <c r="E10" s="3">
        <v>2086344</v>
      </c>
      <c r="F10" s="3">
        <v>41689500</v>
      </c>
      <c r="G10" s="3">
        <v>27200991</v>
      </c>
      <c r="H10" s="3">
        <v>4923815</v>
      </c>
    </row>
    <row r="11" spans="2:8">
      <c r="B11" s="103" t="s">
        <v>11</v>
      </c>
      <c r="C11" s="104">
        <f>C10-C9</f>
        <v>6823594</v>
      </c>
      <c r="D11" s="104">
        <f t="shared" ref="D11:H11" si="3">D10-D9</f>
        <v>4175940</v>
      </c>
      <c r="E11" s="104">
        <f t="shared" si="3"/>
        <v>2086344</v>
      </c>
      <c r="F11" s="104">
        <f t="shared" si="3"/>
        <v>41689500</v>
      </c>
      <c r="G11" s="104">
        <f t="shared" si="3"/>
        <v>27200991</v>
      </c>
      <c r="H11" s="104">
        <f t="shared" si="3"/>
        <v>4923815</v>
      </c>
    </row>
    <row r="12" spans="2:9">
      <c r="B12" s="105" t="s">
        <v>12</v>
      </c>
      <c r="C12" s="65"/>
      <c r="D12" s="106">
        <f>D11/AVERAGE(C8:D8)</f>
        <v>-0.084942420527835</v>
      </c>
      <c r="E12" s="106">
        <f t="shared" ref="E12:H12" si="4">E11/AVERAGE(D8:E8)</f>
        <v>0.398564144826861</v>
      </c>
      <c r="F12" s="106">
        <f t="shared" si="4"/>
        <v>-0.0901914103943762</v>
      </c>
      <c r="G12" s="106">
        <f t="shared" si="4"/>
        <v>-0.0597302782772135</v>
      </c>
      <c r="H12" s="106">
        <f t="shared" si="4"/>
        <v>0.0244921814975051</v>
      </c>
      <c r="I12" s="112" t="s">
        <v>13</v>
      </c>
    </row>
    <row r="14" spans="2:8">
      <c r="B14" s="105" t="s">
        <v>14</v>
      </c>
      <c r="C14" s="65"/>
      <c r="D14" s="106">
        <f>D9/AVERAGE(SUM(D2:D3),SUM(C2:C3))</f>
        <v>0</v>
      </c>
      <c r="E14" s="106">
        <f t="shared" ref="E14:H14" si="5">E9/AVERAGE(SUM(E2:E3),SUM(D2:D3))</f>
        <v>0</v>
      </c>
      <c r="F14" s="106">
        <f t="shared" si="5"/>
        <v>0</v>
      </c>
      <c r="G14" s="106">
        <f t="shared" si="5"/>
        <v>0</v>
      </c>
      <c r="H14" s="106">
        <f t="shared" si="5"/>
        <v>0</v>
      </c>
    </row>
    <row r="15" spans="2:8">
      <c r="B15" s="105" t="s">
        <v>15</v>
      </c>
      <c r="C15" s="65"/>
      <c r="D15" s="106">
        <f>D10/AVERAGE(SUM(D5:D6),SUM(C5:C6))</f>
        <v>0.0128032420433065</v>
      </c>
      <c r="E15" s="106">
        <f t="shared" ref="E15:H15" si="6">E10/AVERAGE(SUM(E5:E6),SUM(D5:D6))</f>
        <v>0.00638878257431644</v>
      </c>
      <c r="F15" s="106">
        <f t="shared" si="6"/>
        <v>0.0592164574988892</v>
      </c>
      <c r="G15" s="106">
        <f t="shared" si="6"/>
        <v>0.0383932469258499</v>
      </c>
      <c r="H15" s="106">
        <f t="shared" si="6"/>
        <v>0.0148742933908971</v>
      </c>
    </row>
    <row r="25" spans="2:3">
      <c r="B25" s="107" t="s">
        <v>0</v>
      </c>
      <c r="C25" s="46">
        <v>291772464</v>
      </c>
    </row>
    <row r="26" spans="2:3">
      <c r="B26" s="107" t="s">
        <v>1</v>
      </c>
      <c r="C26" s="3">
        <v>475695690</v>
      </c>
    </row>
    <row r="27" spans="2:3">
      <c r="B27" s="98" t="s">
        <v>2</v>
      </c>
      <c r="C27" s="71">
        <f t="shared" ref="C27" si="7">C25+C26</f>
        <v>767468154</v>
      </c>
    </row>
    <row r="28" spans="2:3">
      <c r="B28" s="99" t="s">
        <v>3</v>
      </c>
      <c r="C28" s="3">
        <v>0</v>
      </c>
    </row>
    <row r="29" spans="2:3">
      <c r="B29" s="99" t="s">
        <v>4</v>
      </c>
      <c r="C29" s="3">
        <v>326089784</v>
      </c>
    </row>
    <row r="30" spans="2:3">
      <c r="B30" s="100" t="s">
        <v>5</v>
      </c>
      <c r="C30" s="3">
        <v>326089784</v>
      </c>
    </row>
    <row r="31" spans="2:3">
      <c r="B31" s="102" t="s">
        <v>6</v>
      </c>
      <c r="C31" s="71">
        <v>441378370</v>
      </c>
    </row>
    <row r="32" spans="2:3">
      <c r="B32" s="102" t="s">
        <v>8</v>
      </c>
      <c r="C32">
        <v>0</v>
      </c>
    </row>
    <row r="33" spans="2:3">
      <c r="B33" s="102" t="s">
        <v>10</v>
      </c>
      <c r="C33" s="3">
        <v>4923815</v>
      </c>
    </row>
    <row r="34" spans="2:3">
      <c r="B34" s="99" t="s">
        <v>11</v>
      </c>
      <c r="C34" s="101">
        <v>4923815</v>
      </c>
    </row>
    <row r="35" spans="2:3">
      <c r="B35" s="105" t="s">
        <v>12</v>
      </c>
      <c r="C35" s="106">
        <v>0.0245</v>
      </c>
    </row>
  </sheetData>
  <mergeCells count="2">
    <mergeCell ref="I8:K8"/>
    <mergeCell ref="I9:N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3"/>
  <sheetViews>
    <sheetView workbookViewId="0">
      <selection activeCell="B5" sqref="B5"/>
    </sheetView>
  </sheetViews>
  <sheetFormatPr defaultColWidth="9" defaultRowHeight="14.5"/>
  <cols>
    <col min="1" max="1" width="27.1363636363636" customWidth="1"/>
    <col min="2" max="2" width="18.7090909090909" style="85" customWidth="1"/>
    <col min="3" max="3" width="23.1363636363636" customWidth="1"/>
    <col min="5" max="5" width="18.8545454545455" customWidth="1"/>
    <col min="6" max="6" width="5.28181818181818" customWidth="1"/>
  </cols>
  <sheetData>
    <row r="2" spans="1:11">
      <c r="A2" t="s">
        <v>16</v>
      </c>
      <c r="B2" s="86">
        <v>533.1</v>
      </c>
      <c r="E2" s="4" t="s">
        <v>17</v>
      </c>
      <c r="F2" s="4">
        <v>2020</v>
      </c>
      <c r="G2" s="4">
        <v>2021</v>
      </c>
      <c r="H2" s="4">
        <v>2022</v>
      </c>
      <c r="I2" s="4">
        <v>2023</v>
      </c>
      <c r="J2" s="4">
        <v>2024</v>
      </c>
      <c r="K2" s="4">
        <v>2025</v>
      </c>
    </row>
    <row r="3" spans="1:11">
      <c r="A3" t="s">
        <v>18</v>
      </c>
      <c r="B3" s="87">
        <f>AVERAGE(F3:K3)</f>
        <v>4.08333333333333</v>
      </c>
      <c r="C3" t="s">
        <v>19</v>
      </c>
      <c r="E3" s="88" t="s">
        <v>20</v>
      </c>
      <c r="F3" s="88">
        <v>3.5</v>
      </c>
      <c r="G3" s="88">
        <v>3.5</v>
      </c>
      <c r="H3" s="88">
        <v>2</v>
      </c>
      <c r="I3" s="88">
        <v>4</v>
      </c>
      <c r="J3" s="88">
        <v>5</v>
      </c>
      <c r="K3" s="88">
        <v>6.5</v>
      </c>
    </row>
    <row r="4" spans="1:2">
      <c r="A4" t="s">
        <v>21</v>
      </c>
      <c r="B4" s="89">
        <f>(K3/F3)^(1/5)-1</f>
        <v>0.131798365631002</v>
      </c>
    </row>
    <row r="5" spans="1:3">
      <c r="A5" s="65" t="s">
        <v>22</v>
      </c>
      <c r="B5" s="89">
        <f>B3*(1+B4)/B2+B4</f>
        <v>0.140467489609605</v>
      </c>
      <c r="C5" s="90"/>
    </row>
    <row r="7" spans="1:2">
      <c r="A7" t="s">
        <v>23</v>
      </c>
      <c r="B7" s="91">
        <v>40780000</v>
      </c>
    </row>
    <row r="8" spans="1:2">
      <c r="A8" t="s">
        <v>24</v>
      </c>
      <c r="B8" s="92">
        <f>B7*B2</f>
        <v>21739818000</v>
      </c>
    </row>
    <row r="9" spans="1:2">
      <c r="A9" t="s">
        <v>25</v>
      </c>
      <c r="B9" s="92">
        <v>441378370</v>
      </c>
    </row>
    <row r="10" spans="1:2">
      <c r="A10" t="s">
        <v>26</v>
      </c>
      <c r="B10" s="92">
        <f>B8+B9</f>
        <v>22181196370</v>
      </c>
    </row>
    <row r="11" spans="1:2">
      <c r="A11" t="s">
        <v>27</v>
      </c>
      <c r="B11" s="89">
        <v>0.0245</v>
      </c>
    </row>
    <row r="12" spans="1:2">
      <c r="A12" t="s">
        <v>28</v>
      </c>
      <c r="B12" s="89">
        <f>-'Kohinoor Income Statement'!B13/'Kohinoor Income Statement'!B12</f>
        <v>0.276878640763558</v>
      </c>
    </row>
    <row r="14" spans="1:2">
      <c r="A14" t="s">
        <v>29</v>
      </c>
      <c r="B14" s="89">
        <f>(B8/B10)*B5+(B9/B10)*B11*(1-B12)</f>
        <v>0.138024896225991</v>
      </c>
    </row>
    <row r="17" spans="1:2">
      <c r="A17" s="93" t="s">
        <v>30</v>
      </c>
      <c r="B17" s="9">
        <v>0.0245</v>
      </c>
    </row>
    <row r="18" spans="1:2">
      <c r="A18" s="93" t="s">
        <v>31</v>
      </c>
      <c r="B18" s="9">
        <v>0.140467489609605</v>
      </c>
    </row>
    <row r="19" spans="1:2">
      <c r="A19" s="93" t="s">
        <v>32</v>
      </c>
      <c r="B19" s="94">
        <v>441378370</v>
      </c>
    </row>
    <row r="20" spans="1:2">
      <c r="A20" s="93" t="s">
        <v>33</v>
      </c>
      <c r="B20" s="92">
        <v>21739818000</v>
      </c>
    </row>
    <row r="21" spans="1:2">
      <c r="A21" s="93" t="s">
        <v>34</v>
      </c>
      <c r="B21" s="92">
        <v>22181196370</v>
      </c>
    </row>
    <row r="22" spans="1:2">
      <c r="A22" s="93" t="s">
        <v>35</v>
      </c>
      <c r="B22" s="9">
        <v>0.276878640763558</v>
      </c>
    </row>
    <row r="23" spans="1:2">
      <c r="A23" s="65" t="s">
        <v>29</v>
      </c>
      <c r="B23" s="9">
        <f>(B20/B21)*B18+(B19/B21)*B17*(1-B22)</f>
        <v>0.138024896225991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B4" sqref="B4"/>
    </sheetView>
  </sheetViews>
  <sheetFormatPr defaultColWidth="9" defaultRowHeight="14.5" outlineLevelRow="3"/>
  <cols>
    <col min="1" max="1" width="19.8545454545455" customWidth="1"/>
    <col min="2" max="4" width="15.4272727272727" customWidth="1"/>
    <col min="5" max="7" width="14.4272727272727" customWidth="1"/>
  </cols>
  <sheetData>
    <row r="1" s="21" customFormat="1" ht="15.5" spans="1:7">
      <c r="A1" s="22" t="s">
        <v>36</v>
      </c>
      <c r="B1" s="22">
        <v>2025</v>
      </c>
      <c r="C1" s="22">
        <v>2024</v>
      </c>
      <c r="D1" s="22">
        <v>2023</v>
      </c>
      <c r="E1" s="22">
        <v>2022</v>
      </c>
      <c r="F1" s="22">
        <v>2021</v>
      </c>
      <c r="G1" s="22">
        <v>2020</v>
      </c>
    </row>
    <row r="2" spans="1:7">
      <c r="A2" t="s">
        <v>37</v>
      </c>
      <c r="B2" s="3">
        <v>874014118</v>
      </c>
      <c r="C2" s="3">
        <v>705061358</v>
      </c>
      <c r="D2" s="3">
        <v>525496568</v>
      </c>
      <c r="E2" s="3">
        <v>400024313</v>
      </c>
      <c r="F2" s="3">
        <v>297639224</v>
      </c>
      <c r="G2" s="3">
        <v>223641118</v>
      </c>
    </row>
    <row r="3" spans="1:7">
      <c r="A3" t="s">
        <v>38</v>
      </c>
      <c r="B3" s="6">
        <v>-241995841</v>
      </c>
      <c r="C3" s="6">
        <v>-195529781</v>
      </c>
      <c r="D3" s="6">
        <v>-148232252</v>
      </c>
      <c r="E3" s="6">
        <v>-83259956</v>
      </c>
      <c r="F3" s="6">
        <v>-63634885</v>
      </c>
      <c r="G3" s="6">
        <v>-55677757</v>
      </c>
    </row>
    <row r="4" spans="1:10">
      <c r="A4" t="s">
        <v>35</v>
      </c>
      <c r="B4" s="9">
        <f>-B3/B2</f>
        <v>0.276878640763558</v>
      </c>
      <c r="C4" s="9">
        <f t="shared" ref="C4:G4" si="0">-C3/C2</f>
        <v>0.277323070937608</v>
      </c>
      <c r="D4" s="9">
        <f t="shared" si="0"/>
        <v>0.282080342720716</v>
      </c>
      <c r="E4" s="9">
        <f t="shared" si="0"/>
        <v>0.208137238898277</v>
      </c>
      <c r="F4" s="9">
        <f t="shared" si="0"/>
        <v>0.213798719620368</v>
      </c>
      <c r="G4" s="9">
        <f t="shared" si="0"/>
        <v>0.248960287347517</v>
      </c>
      <c r="H4" s="23" t="s">
        <v>39</v>
      </c>
      <c r="I4" s="23"/>
      <c r="J4" s="2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G1" sqref="G1"/>
    </sheetView>
  </sheetViews>
  <sheetFormatPr defaultColWidth="9" defaultRowHeight="14.5"/>
  <cols>
    <col min="1" max="1" width="41.4272727272727" customWidth="1"/>
    <col min="2" max="2" width="15.7090909090909" customWidth="1"/>
    <col min="3" max="3" width="16.7090909090909" customWidth="1"/>
    <col min="4" max="4" width="15.4272727272727" customWidth="1"/>
    <col min="5" max="6" width="15.7090909090909" customWidth="1"/>
    <col min="7" max="7" width="15" customWidth="1"/>
    <col min="10" max="10" width="26.1363636363636" customWidth="1"/>
    <col min="11" max="15" width="15.7090909090909" customWidth="1"/>
    <col min="16" max="16" width="14.1363636363636" customWidth="1"/>
  </cols>
  <sheetData>
    <row r="1" spans="1:16">
      <c r="A1" s="24"/>
      <c r="B1" s="78">
        <v>2025</v>
      </c>
      <c r="C1" s="78">
        <v>2024</v>
      </c>
      <c r="D1" s="78">
        <v>2023</v>
      </c>
      <c r="E1" s="78">
        <v>2022</v>
      </c>
      <c r="F1" s="78">
        <v>2021</v>
      </c>
      <c r="G1" s="78">
        <v>2020</v>
      </c>
      <c r="H1" s="24"/>
      <c r="I1" s="24"/>
      <c r="J1" s="24"/>
      <c r="K1" s="24"/>
      <c r="L1" s="24"/>
      <c r="M1" s="24"/>
      <c r="N1" s="24"/>
      <c r="O1" s="24"/>
      <c r="P1" s="24"/>
    </row>
    <row r="2" spans="1:16">
      <c r="A2" s="79" t="s">
        <v>40</v>
      </c>
      <c r="B2" s="80">
        <v>632018276</v>
      </c>
      <c r="C2" s="80">
        <v>509531576</v>
      </c>
      <c r="D2" s="80">
        <v>377264315</v>
      </c>
      <c r="E2" s="80">
        <v>316764356</v>
      </c>
      <c r="F2" s="80">
        <v>234004338</v>
      </c>
      <c r="G2" s="80">
        <v>167963362</v>
      </c>
      <c r="H2" s="24"/>
      <c r="I2" s="24"/>
      <c r="J2" s="24"/>
      <c r="K2" s="24"/>
      <c r="L2" s="24"/>
      <c r="M2" s="24"/>
      <c r="N2" s="24"/>
      <c r="O2" s="24"/>
      <c r="P2" s="24"/>
    </row>
    <row r="3" spans="1:16">
      <c r="A3" s="79" t="s">
        <v>41</v>
      </c>
      <c r="B3" s="81"/>
      <c r="C3" s="24"/>
      <c r="D3" s="24"/>
      <c r="E3" s="24"/>
      <c r="F3" s="24"/>
      <c r="G3" s="24"/>
      <c r="H3" s="24"/>
      <c r="I3" s="24"/>
      <c r="J3" s="83" t="s">
        <v>42</v>
      </c>
      <c r="K3" s="84">
        <v>60328048</v>
      </c>
      <c r="L3" s="84">
        <v>24557812</v>
      </c>
      <c r="M3" s="84">
        <v>19668530</v>
      </c>
      <c r="N3" s="84">
        <v>10536756</v>
      </c>
      <c r="O3" s="84">
        <v>6666809</v>
      </c>
      <c r="P3" s="84">
        <v>10079100</v>
      </c>
    </row>
    <row r="4" spans="1:16">
      <c r="A4" s="79" t="s">
        <v>43</v>
      </c>
      <c r="B4" s="77">
        <v>-35770236</v>
      </c>
      <c r="C4" s="77">
        <v>-4889282</v>
      </c>
      <c r="D4" s="77">
        <v>-9131774</v>
      </c>
      <c r="E4" s="77">
        <v>-3869947</v>
      </c>
      <c r="F4" s="77">
        <v>3412291</v>
      </c>
      <c r="G4" s="113" t="s">
        <v>44</v>
      </c>
      <c r="H4" s="24"/>
      <c r="I4" s="24"/>
      <c r="J4" s="83" t="s">
        <v>45</v>
      </c>
      <c r="K4" s="84">
        <v>1483829848</v>
      </c>
      <c r="L4" s="84">
        <v>1226269073</v>
      </c>
      <c r="M4" s="84">
        <v>1619031606</v>
      </c>
      <c r="N4" s="84">
        <v>1190511271</v>
      </c>
      <c r="O4" s="84">
        <v>1002898067</v>
      </c>
      <c r="P4" s="84">
        <v>916560031</v>
      </c>
    </row>
    <row r="5" spans="1:16">
      <c r="A5" s="79" t="s">
        <v>46</v>
      </c>
      <c r="B5" s="77">
        <v>-257560775</v>
      </c>
      <c r="C5" s="77">
        <v>392762533</v>
      </c>
      <c r="D5" s="77">
        <v>-428520335</v>
      </c>
      <c r="E5" s="77">
        <v>-187613204</v>
      </c>
      <c r="F5" s="77">
        <v>-86338036</v>
      </c>
      <c r="G5" s="113" t="s">
        <v>44</v>
      </c>
      <c r="H5" s="24"/>
      <c r="I5" s="24"/>
      <c r="J5" s="83" t="s">
        <v>47</v>
      </c>
      <c r="K5" s="84">
        <v>555741022</v>
      </c>
      <c r="L5" s="84">
        <v>477106143</v>
      </c>
      <c r="M5" s="84">
        <v>408584873</v>
      </c>
      <c r="N5" s="84">
        <v>407648978</v>
      </c>
      <c r="O5" s="84">
        <v>466289982</v>
      </c>
      <c r="P5" s="84">
        <v>396324904</v>
      </c>
    </row>
    <row r="6" spans="1:16">
      <c r="A6" s="79" t="s">
        <v>48</v>
      </c>
      <c r="B6" s="77">
        <v>78634879</v>
      </c>
      <c r="C6" s="77">
        <v>68521270</v>
      </c>
      <c r="D6" s="77">
        <v>935895</v>
      </c>
      <c r="E6" s="77">
        <v>-58641004</v>
      </c>
      <c r="F6" s="77">
        <v>69965078</v>
      </c>
      <c r="G6" s="113" t="s">
        <v>44</v>
      </c>
      <c r="H6" s="24"/>
      <c r="I6" s="24"/>
      <c r="J6" s="83" t="s">
        <v>49</v>
      </c>
      <c r="K6" s="83"/>
      <c r="L6" s="83"/>
      <c r="M6" s="83"/>
      <c r="N6" s="84">
        <v>575847511</v>
      </c>
      <c r="O6" s="84">
        <v>414097360</v>
      </c>
      <c r="P6" s="84">
        <v>216173985</v>
      </c>
    </row>
    <row r="7" spans="1:16">
      <c r="A7" s="79" t="s">
        <v>50</v>
      </c>
      <c r="B7" s="113" t="s">
        <v>44</v>
      </c>
      <c r="C7" s="113" t="s">
        <v>44</v>
      </c>
      <c r="D7" s="113" t="s">
        <v>44</v>
      </c>
      <c r="E7" s="77">
        <v>161750151</v>
      </c>
      <c r="F7" s="77">
        <v>197923375</v>
      </c>
      <c r="G7" s="113" t="s">
        <v>44</v>
      </c>
      <c r="H7" s="24"/>
      <c r="I7" s="24"/>
      <c r="J7" s="24"/>
      <c r="K7" s="24"/>
      <c r="L7" s="24"/>
      <c r="M7" s="24"/>
      <c r="N7" s="24"/>
      <c r="O7" s="24"/>
      <c r="P7" s="24"/>
    </row>
    <row r="8" spans="1:16">
      <c r="A8" s="82" t="s">
        <v>51</v>
      </c>
      <c r="B8" s="57">
        <v>417322144</v>
      </c>
      <c r="C8" s="57">
        <v>965926097</v>
      </c>
      <c r="D8" s="57">
        <v>-59451899</v>
      </c>
      <c r="E8" s="57">
        <v>228390352</v>
      </c>
      <c r="F8" s="57">
        <v>418967046</v>
      </c>
      <c r="G8" s="57">
        <v>167963362</v>
      </c>
      <c r="H8" s="24"/>
      <c r="I8" s="24"/>
      <c r="J8" s="24"/>
      <c r="K8" s="24"/>
      <c r="L8" s="24"/>
      <c r="M8" s="24"/>
      <c r="N8" s="24"/>
      <c r="O8" s="24"/>
      <c r="P8" s="24"/>
    </row>
    <row r="9" spans="1:16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79" t="s">
        <v>52</v>
      </c>
      <c r="B10" s="77">
        <v>1415000</v>
      </c>
      <c r="C10" s="77">
        <v>513500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>
      <c r="A11" s="79" t="s">
        <v>53</v>
      </c>
      <c r="B11" s="77">
        <v>-49593307</v>
      </c>
      <c r="C11" s="77">
        <v>-10873117</v>
      </c>
      <c r="D11" s="77">
        <v>-16126527</v>
      </c>
      <c r="E11" s="77">
        <v>-14154986</v>
      </c>
      <c r="F11" s="77">
        <v>-23264755</v>
      </c>
      <c r="G11" s="77">
        <v>-9574426</v>
      </c>
      <c r="H11" s="24"/>
      <c r="I11" s="24"/>
      <c r="J11" s="24"/>
      <c r="K11" s="24"/>
      <c r="L11" s="24"/>
      <c r="M11" s="24"/>
      <c r="N11" s="24"/>
      <c r="O11" s="24"/>
      <c r="P11" s="24"/>
    </row>
    <row r="12" spans="1:16">
      <c r="A12" s="79" t="s">
        <v>54</v>
      </c>
      <c r="B12" s="24"/>
      <c r="C12" s="24"/>
      <c r="D12" s="24"/>
      <c r="E12" s="77">
        <v>485500</v>
      </c>
      <c r="F12" s="24"/>
      <c r="G12" s="77">
        <v>584999</v>
      </c>
      <c r="H12" s="24"/>
      <c r="I12" s="24"/>
      <c r="J12" s="24"/>
      <c r="K12" s="24"/>
      <c r="L12" s="24"/>
      <c r="M12" s="24"/>
      <c r="N12" s="24"/>
      <c r="O12" s="24"/>
      <c r="P12" s="24"/>
    </row>
    <row r="13" spans="1:16">
      <c r="A13" s="79" t="s">
        <v>55</v>
      </c>
      <c r="B13" s="77">
        <v>14493414</v>
      </c>
      <c r="C13" s="77">
        <v>12884426</v>
      </c>
      <c r="D13" s="77">
        <v>14419413</v>
      </c>
      <c r="E13" s="77">
        <v>16055254</v>
      </c>
      <c r="F13" s="77">
        <v>5663484</v>
      </c>
      <c r="G13" s="77">
        <v>3792496</v>
      </c>
      <c r="H13" s="24"/>
      <c r="I13" s="24"/>
      <c r="J13" s="24"/>
      <c r="K13" s="24"/>
      <c r="L13" s="24"/>
      <c r="M13" s="24"/>
      <c r="N13" s="24"/>
      <c r="O13" s="24"/>
      <c r="P13" s="24"/>
    </row>
    <row r="14" spans="1:16">
      <c r="A14" s="79" t="s">
        <v>56</v>
      </c>
      <c r="B14" s="77">
        <v>-404810461</v>
      </c>
      <c r="C14" s="77">
        <v>-30935999</v>
      </c>
      <c r="D14" s="77">
        <v>7697120</v>
      </c>
      <c r="E14" s="77">
        <v>-2402964</v>
      </c>
      <c r="F14" s="77">
        <v>-3389415</v>
      </c>
      <c r="G14" s="77">
        <v>-9971724</v>
      </c>
      <c r="H14" s="24"/>
      <c r="I14" s="24"/>
      <c r="J14" s="24"/>
      <c r="K14" s="24"/>
      <c r="L14" s="24"/>
      <c r="M14" s="24"/>
      <c r="N14" s="24"/>
      <c r="O14" s="24"/>
      <c r="P14" s="24"/>
    </row>
    <row r="15" spans="1:16">
      <c r="A15" s="79" t="s">
        <v>57</v>
      </c>
      <c r="B15" s="77">
        <v>6671734</v>
      </c>
      <c r="C15" s="77">
        <v>-394043</v>
      </c>
      <c r="D15" s="77">
        <v>-50447650</v>
      </c>
      <c r="E15" s="77">
        <v>-352176653</v>
      </c>
      <c r="F15" s="77">
        <v>-99999653</v>
      </c>
      <c r="G15" s="24">
        <v>996</v>
      </c>
      <c r="H15" s="24"/>
      <c r="I15" s="24"/>
      <c r="J15" s="24"/>
      <c r="K15" s="24"/>
      <c r="L15" s="24"/>
      <c r="M15" s="24"/>
      <c r="N15" s="24"/>
      <c r="O15" s="24"/>
      <c r="P15" s="24"/>
    </row>
    <row r="16" spans="1:16">
      <c r="A16" s="79" t="s">
        <v>58</v>
      </c>
      <c r="B16" s="77">
        <v>-15397707</v>
      </c>
      <c r="C16" s="77">
        <v>360751</v>
      </c>
      <c r="D16" s="77">
        <v>49560830</v>
      </c>
      <c r="E16" s="77">
        <v>50178622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>
      <c r="A17" s="79" t="s">
        <v>59</v>
      </c>
      <c r="B17" s="24"/>
      <c r="C17" s="24"/>
      <c r="D17" s="24"/>
      <c r="E17" s="24"/>
      <c r="F17" s="24"/>
      <c r="G17" s="77">
        <v>3689602</v>
      </c>
      <c r="H17" s="24"/>
      <c r="I17" s="24"/>
      <c r="J17" s="24"/>
      <c r="K17" s="24"/>
      <c r="L17" s="24"/>
      <c r="M17" s="24"/>
      <c r="N17" s="24"/>
      <c r="O17" s="24"/>
      <c r="P17" s="24"/>
    </row>
    <row r="18" spans="1:16">
      <c r="A18" s="79" t="s">
        <v>60</v>
      </c>
      <c r="B18" s="77">
        <v>45723087</v>
      </c>
      <c r="C18" s="77">
        <v>5553123</v>
      </c>
      <c r="D18" s="77">
        <v>5995232</v>
      </c>
      <c r="E18" s="77">
        <v>7471532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>
      <c r="A19" s="82" t="s">
        <v>61</v>
      </c>
      <c r="B19" s="57">
        <v>-401498240</v>
      </c>
      <c r="C19" s="57">
        <v>-22891359</v>
      </c>
      <c r="D19" s="57">
        <v>11098418</v>
      </c>
      <c r="E19" s="57">
        <v>-294543695</v>
      </c>
      <c r="F19" s="57">
        <v>-120990339</v>
      </c>
      <c r="G19" s="57">
        <v>-11478057</v>
      </c>
      <c r="H19" s="24"/>
      <c r="I19" s="24"/>
      <c r="J19" s="24"/>
      <c r="K19" s="24"/>
      <c r="L19" s="24"/>
      <c r="M19" s="24"/>
      <c r="N19" s="24"/>
      <c r="O19" s="24"/>
      <c r="P19" s="24"/>
    </row>
    <row r="20" spans="1:16">
      <c r="A20" s="82" t="s">
        <v>62</v>
      </c>
      <c r="B20" s="57">
        <v>15823904</v>
      </c>
      <c r="C20" s="57">
        <v>943034738</v>
      </c>
      <c r="D20" s="57">
        <v>-48353481</v>
      </c>
      <c r="E20" s="57">
        <v>-66153343</v>
      </c>
      <c r="F20" s="57">
        <v>297976707</v>
      </c>
      <c r="G20" s="57">
        <v>156485305</v>
      </c>
      <c r="H20" s="24"/>
      <c r="I20" s="24"/>
      <c r="J20" s="24"/>
      <c r="K20" s="24"/>
      <c r="L20" s="24"/>
      <c r="M20" s="24"/>
      <c r="N20" s="24"/>
      <c r="O20" s="24"/>
      <c r="P20" s="24"/>
    </row>
    <row r="21" spans="1:16">
      <c r="A21" s="79" t="s">
        <v>63</v>
      </c>
      <c r="B21" s="24">
        <v>241995841</v>
      </c>
      <c r="C21" s="24">
        <v>195529781</v>
      </c>
      <c r="D21" s="24">
        <v>148232252</v>
      </c>
      <c r="E21" s="24">
        <v>83259956</v>
      </c>
      <c r="F21" s="24">
        <v>63634885</v>
      </c>
      <c r="G21" s="24">
        <v>55677757</v>
      </c>
      <c r="H21" s="24"/>
      <c r="I21" s="24"/>
      <c r="J21" s="24"/>
      <c r="K21" s="24"/>
      <c r="L21" s="24"/>
      <c r="M21" s="24"/>
      <c r="N21" s="24"/>
      <c r="O21" s="24"/>
      <c r="P21" s="24"/>
    </row>
    <row r="22" spans="1:16">
      <c r="A22" s="79" t="s">
        <v>64</v>
      </c>
      <c r="B22" s="24">
        <v>4923815</v>
      </c>
      <c r="C22" s="24">
        <v>27200991</v>
      </c>
      <c r="D22" s="24">
        <v>41689500</v>
      </c>
      <c r="E22" s="24">
        <v>2086344</v>
      </c>
      <c r="F22" s="24">
        <v>4175940</v>
      </c>
      <c r="G22" s="24">
        <v>6823594</v>
      </c>
      <c r="H22" s="24"/>
      <c r="I22" s="24"/>
      <c r="J22" s="24"/>
      <c r="K22" s="24"/>
      <c r="L22" s="24"/>
      <c r="M22" s="24"/>
      <c r="N22" s="24"/>
      <c r="O22" s="24"/>
      <c r="P22" s="24"/>
    </row>
    <row r="23" spans="1:16">
      <c r="A23" s="82" t="s">
        <v>62</v>
      </c>
      <c r="B23" s="57">
        <v>262743560</v>
      </c>
      <c r="C23" s="57">
        <v>1165765510</v>
      </c>
      <c r="D23" s="57">
        <v>141568271</v>
      </c>
      <c r="E23" s="57">
        <v>19192957</v>
      </c>
      <c r="F23" s="57">
        <v>365787532</v>
      </c>
      <c r="G23" s="57">
        <v>218986656</v>
      </c>
      <c r="H23" s="24"/>
      <c r="I23" s="24"/>
      <c r="J23" s="24"/>
      <c r="K23" s="24"/>
      <c r="L23" s="24"/>
      <c r="M23" s="24"/>
      <c r="N23" s="24"/>
      <c r="O23" s="24"/>
      <c r="P23" s="2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S53"/>
  <sheetViews>
    <sheetView topLeftCell="A37" workbookViewId="0">
      <selection activeCell="E50" sqref="E50"/>
    </sheetView>
  </sheetViews>
  <sheetFormatPr defaultColWidth="9" defaultRowHeight="14.5"/>
  <cols>
    <col min="4" max="4" width="19.5727272727273" customWidth="1"/>
    <col min="5" max="5" width="20.1363636363636" customWidth="1"/>
    <col min="6" max="6" width="19.1363636363636" customWidth="1"/>
    <col min="7" max="7" width="22.1363636363636" customWidth="1"/>
    <col min="8" max="8" width="19.5727272727273" customWidth="1"/>
    <col min="11" max="11" width="16.4272727272727" customWidth="1"/>
    <col min="12" max="12" width="16.1363636363636" customWidth="1"/>
    <col min="13" max="13" width="17.4272727272727" customWidth="1"/>
    <col min="14" max="14" width="15.8545454545455" customWidth="1"/>
    <col min="15" max="15" width="13.7090909090909" customWidth="1"/>
    <col min="17" max="17" width="13.5727272727273" customWidth="1"/>
  </cols>
  <sheetData>
    <row r="7" spans="3:15">
      <c r="C7" t="s">
        <v>65</v>
      </c>
      <c r="O7" s="5"/>
    </row>
    <row r="8" spans="3:15">
      <c r="C8" t="s">
        <v>17</v>
      </c>
      <c r="D8" t="s">
        <v>66</v>
      </c>
      <c r="E8" t="s">
        <v>67</v>
      </c>
      <c r="F8" t="s">
        <v>68</v>
      </c>
      <c r="O8" s="5"/>
    </row>
    <row r="9" spans="4:19">
      <c r="D9" s="74"/>
      <c r="E9" s="74"/>
      <c r="F9" s="75"/>
      <c r="K9" s="77"/>
      <c r="L9" s="77"/>
      <c r="N9" s="5"/>
      <c r="O9" s="25"/>
      <c r="P9" s="77"/>
      <c r="Q9" s="25"/>
      <c r="R9" s="77"/>
      <c r="S9" s="77"/>
    </row>
    <row r="10" spans="3:19">
      <c r="C10">
        <v>2021</v>
      </c>
      <c r="D10" s="5">
        <v>2235994122</v>
      </c>
      <c r="E10" s="74">
        <v>932811501</v>
      </c>
      <c r="F10" s="75">
        <f t="shared" ref="F10:F14" si="0">D10-E10</f>
        <v>1303182621</v>
      </c>
      <c r="N10" s="5"/>
      <c r="O10" s="25"/>
      <c r="P10" s="77"/>
      <c r="Q10" s="25"/>
      <c r="R10" s="77"/>
      <c r="S10" s="77"/>
    </row>
    <row r="11" spans="3:19">
      <c r="C11">
        <v>2022</v>
      </c>
      <c r="D11" s="5">
        <v>2601158096</v>
      </c>
      <c r="E11" s="74">
        <v>1032378483</v>
      </c>
      <c r="F11" s="75">
        <f t="shared" si="0"/>
        <v>1568779613</v>
      </c>
      <c r="K11" s="77"/>
      <c r="N11" s="5"/>
      <c r="O11" s="25"/>
      <c r="P11" s="77"/>
      <c r="Q11" s="25"/>
      <c r="R11" s="77"/>
      <c r="S11" s="77"/>
    </row>
    <row r="12" spans="3:19">
      <c r="C12">
        <v>2023</v>
      </c>
      <c r="D12" s="5">
        <v>3120755373</v>
      </c>
      <c r="E12" s="74">
        <v>1019618503</v>
      </c>
      <c r="F12" s="75">
        <f t="shared" si="0"/>
        <v>2101136870</v>
      </c>
      <c r="K12" s="77"/>
      <c r="N12" s="5"/>
      <c r="O12" s="25"/>
      <c r="P12" s="77"/>
      <c r="Q12" s="25"/>
      <c r="R12" s="77"/>
      <c r="S12" s="77"/>
    </row>
    <row r="13" spans="3:19">
      <c r="C13">
        <v>2024</v>
      </c>
      <c r="D13" s="5">
        <v>2677152985</v>
      </c>
      <c r="E13" s="74">
        <v>564791512</v>
      </c>
      <c r="F13" s="75">
        <f t="shared" si="0"/>
        <v>2112361473</v>
      </c>
      <c r="N13" s="5"/>
      <c r="O13" s="25"/>
      <c r="P13" s="77"/>
      <c r="Q13" s="77"/>
      <c r="R13" s="77"/>
      <c r="S13" s="77"/>
    </row>
    <row r="14" spans="3:19">
      <c r="C14">
        <v>2025</v>
      </c>
      <c r="D14" s="5">
        <v>3118807154</v>
      </c>
      <c r="E14" s="74">
        <v>654103935</v>
      </c>
      <c r="F14" s="75">
        <f t="shared" si="0"/>
        <v>2464703219</v>
      </c>
      <c r="N14" s="74"/>
      <c r="P14" s="77"/>
      <c r="Q14" s="77"/>
      <c r="R14" s="77"/>
      <c r="S14" s="77"/>
    </row>
    <row r="15" spans="3:3">
      <c r="C15" t="s">
        <v>69</v>
      </c>
    </row>
    <row r="16" spans="3:6">
      <c r="C16" t="s">
        <v>17</v>
      </c>
      <c r="D16" t="s">
        <v>70</v>
      </c>
      <c r="E16" t="s">
        <v>71</v>
      </c>
      <c r="F16" t="s">
        <v>72</v>
      </c>
    </row>
    <row r="17" spans="4:6">
      <c r="D17" s="23"/>
      <c r="E17" s="23"/>
      <c r="F17" s="23"/>
    </row>
    <row r="18" spans="3:6">
      <c r="C18">
        <v>2021</v>
      </c>
      <c r="D18" s="23">
        <v>23264755</v>
      </c>
      <c r="E18" s="23">
        <v>0</v>
      </c>
      <c r="F18" s="23">
        <f t="shared" ref="F18:F22" si="1">D18-E18</f>
        <v>23264755</v>
      </c>
    </row>
    <row r="19" spans="3:6">
      <c r="C19">
        <v>2022</v>
      </c>
      <c r="D19" s="58">
        <v>14154986</v>
      </c>
      <c r="E19" s="58">
        <v>485500</v>
      </c>
      <c r="F19" s="23">
        <f t="shared" si="1"/>
        <v>13669486</v>
      </c>
    </row>
    <row r="20" spans="3:6">
      <c r="C20">
        <v>2023</v>
      </c>
      <c r="D20" s="58">
        <v>16126527</v>
      </c>
      <c r="E20" s="23">
        <v>0</v>
      </c>
      <c r="F20" s="23">
        <f t="shared" si="1"/>
        <v>16126527</v>
      </c>
    </row>
    <row r="21" spans="3:6">
      <c r="C21">
        <v>2024</v>
      </c>
      <c r="D21" s="58">
        <v>10873117</v>
      </c>
      <c r="E21" s="58">
        <v>513500</v>
      </c>
      <c r="F21" s="23">
        <f t="shared" si="1"/>
        <v>10359617</v>
      </c>
    </row>
    <row r="22" spans="3:6">
      <c r="C22">
        <v>2025</v>
      </c>
      <c r="D22" s="58">
        <v>49593307</v>
      </c>
      <c r="E22" s="58">
        <v>1415000</v>
      </c>
      <c r="F22" s="23">
        <f t="shared" si="1"/>
        <v>48178307</v>
      </c>
    </row>
    <row r="23" spans="3:3">
      <c r="C23" t="s">
        <v>73</v>
      </c>
    </row>
    <row r="24" spans="3:8">
      <c r="C24" t="s">
        <v>17</v>
      </c>
      <c r="D24" t="s">
        <v>74</v>
      </c>
      <c r="E24" t="s">
        <v>72</v>
      </c>
      <c r="F24" t="s">
        <v>68</v>
      </c>
      <c r="G24" t="s">
        <v>75</v>
      </c>
      <c r="H24" t="s">
        <v>76</v>
      </c>
    </row>
    <row r="25" spans="4:8">
      <c r="D25" s="76"/>
      <c r="E25" s="23"/>
      <c r="F25" s="46">
        <v>1062970460</v>
      </c>
      <c r="H25" s="46"/>
    </row>
    <row r="26" spans="3:8">
      <c r="C26">
        <v>2021</v>
      </c>
      <c r="D26" s="76">
        <v>418967046</v>
      </c>
      <c r="E26" s="23">
        <v>23264755</v>
      </c>
      <c r="F26" s="23">
        <v>1303182621</v>
      </c>
      <c r="G26" s="23">
        <f>F26-F25</f>
        <v>240212161</v>
      </c>
      <c r="H26" s="59">
        <f>D26-E26-G26</f>
        <v>155490130</v>
      </c>
    </row>
    <row r="27" spans="3:8">
      <c r="C27">
        <v>2022</v>
      </c>
      <c r="D27" s="76">
        <v>228390352</v>
      </c>
      <c r="E27" s="23">
        <v>13669486</v>
      </c>
      <c r="F27" s="23">
        <v>1568779613</v>
      </c>
      <c r="G27" s="23">
        <f t="shared" ref="G27:G30" si="2">F27-F26</f>
        <v>265596992</v>
      </c>
      <c r="H27" s="59">
        <f t="shared" ref="H27:H30" si="3">D27-E27-G27</f>
        <v>-50876126</v>
      </c>
    </row>
    <row r="28" spans="3:8">
      <c r="C28">
        <v>2023</v>
      </c>
      <c r="D28" s="76">
        <v>-59451899</v>
      </c>
      <c r="E28" s="23">
        <v>16126527</v>
      </c>
      <c r="F28" s="23">
        <v>2101136870</v>
      </c>
      <c r="G28" s="23">
        <f t="shared" si="2"/>
        <v>532357257</v>
      </c>
      <c r="H28" s="59">
        <f t="shared" si="3"/>
        <v>-607935683</v>
      </c>
    </row>
    <row r="29" spans="3:8">
      <c r="C29">
        <v>2024</v>
      </c>
      <c r="D29" s="76">
        <v>965926097</v>
      </c>
      <c r="E29" s="23">
        <v>10359617</v>
      </c>
      <c r="F29" s="23">
        <v>2112361473</v>
      </c>
      <c r="G29" s="23">
        <f t="shared" si="2"/>
        <v>11224603</v>
      </c>
      <c r="H29" s="59">
        <f t="shared" si="3"/>
        <v>944341877</v>
      </c>
    </row>
    <row r="30" spans="3:8">
      <c r="C30">
        <v>2025</v>
      </c>
      <c r="D30" s="76">
        <v>417322144</v>
      </c>
      <c r="E30" s="23">
        <v>48178307</v>
      </c>
      <c r="F30" s="23">
        <v>2464703219</v>
      </c>
      <c r="G30" s="23">
        <f t="shared" si="2"/>
        <v>352341746</v>
      </c>
      <c r="H30" s="59">
        <f t="shared" si="3"/>
        <v>16802091</v>
      </c>
    </row>
    <row r="35" ht="26" spans="4:6">
      <c r="D35" s="64" t="s">
        <v>77</v>
      </c>
      <c r="E35" s="65"/>
      <c r="F35" s="65"/>
    </row>
    <row r="36" spans="4:5">
      <c r="D36" s="43" t="s">
        <v>17</v>
      </c>
      <c r="E36" s="43" t="s">
        <v>78</v>
      </c>
    </row>
    <row r="37" spans="4:5">
      <c r="D37" s="43">
        <v>2025</v>
      </c>
      <c r="E37" s="45">
        <v>262743560</v>
      </c>
    </row>
    <row r="38" spans="4:5">
      <c r="D38" s="44" t="s">
        <v>79</v>
      </c>
      <c r="E38" s="52">
        <v>0.04</v>
      </c>
    </row>
    <row r="39" spans="4:5">
      <c r="D39" s="44" t="s">
        <v>29</v>
      </c>
      <c r="E39" s="23">
        <f>0.138024896225991*100</f>
        <v>13.8024896225991</v>
      </c>
    </row>
    <row r="40" spans="4:5">
      <c r="D40" s="44" t="s">
        <v>80</v>
      </c>
      <c r="E40" s="23">
        <f>0.131798365631002*100</f>
        <v>13.1798365631002</v>
      </c>
    </row>
    <row r="41" spans="4:10">
      <c r="D41" s="23" t="s">
        <v>81</v>
      </c>
      <c r="G41" t="s">
        <v>82</v>
      </c>
      <c r="H41" s="23">
        <f>F47*1.04/(0.138-0.04)</f>
        <v>5178306967.41627</v>
      </c>
      <c r="J41" t="s">
        <v>83</v>
      </c>
    </row>
    <row r="42" spans="4:13">
      <c r="D42" s="66" t="s">
        <v>84</v>
      </c>
      <c r="E42" s="66" t="s">
        <v>17</v>
      </c>
      <c r="F42" s="66" t="s">
        <v>85</v>
      </c>
      <c r="G42" s="66" t="s">
        <v>86</v>
      </c>
      <c r="J42" s="66" t="s">
        <v>84</v>
      </c>
      <c r="K42" s="66" t="s">
        <v>17</v>
      </c>
      <c r="L42" s="66" t="s">
        <v>87</v>
      </c>
      <c r="M42" s="66" t="s">
        <v>88</v>
      </c>
    </row>
    <row r="43" spans="4:13">
      <c r="D43" s="66">
        <v>1</v>
      </c>
      <c r="E43" s="66">
        <v>2026</v>
      </c>
      <c r="F43" s="67">
        <f>E37*(1+0.1318)^1</f>
        <v>297373161.208</v>
      </c>
      <c r="G43" s="67">
        <v>297373161.208</v>
      </c>
      <c r="J43" s="66">
        <v>1</v>
      </c>
      <c r="K43" s="66">
        <v>2026</v>
      </c>
      <c r="L43" s="66">
        <v>0.8787</v>
      </c>
      <c r="M43" s="67">
        <f>F43*L43</f>
        <v>261301796.75347</v>
      </c>
    </row>
    <row r="44" spans="4:13">
      <c r="D44" s="66">
        <v>2</v>
      </c>
      <c r="E44" s="66">
        <v>2027</v>
      </c>
      <c r="F44" s="67">
        <f>E37*(1+0.1318)^2</f>
        <v>336566943.855214</v>
      </c>
      <c r="G44" s="67">
        <v>336566943.855214</v>
      </c>
      <c r="J44" s="66">
        <v>2</v>
      </c>
      <c r="K44" s="66">
        <v>2027</v>
      </c>
      <c r="L44" s="66">
        <v>0.7721</v>
      </c>
      <c r="M44" s="67">
        <f t="shared" ref="M44:M46" si="4">F44*L44</f>
        <v>259863337.350611</v>
      </c>
    </row>
    <row r="45" spans="4:13">
      <c r="D45" s="66">
        <v>3</v>
      </c>
      <c r="E45" s="66">
        <v>2028</v>
      </c>
      <c r="F45" s="67">
        <f>E37*(1+0.1318)^3</f>
        <v>380926467.055332</v>
      </c>
      <c r="G45" s="67">
        <v>380926467.055332</v>
      </c>
      <c r="J45" s="66">
        <v>3</v>
      </c>
      <c r="K45" s="66">
        <v>2028</v>
      </c>
      <c r="L45" s="66">
        <v>0.6785</v>
      </c>
      <c r="M45" s="67">
        <f t="shared" si="4"/>
        <v>258458607.897042</v>
      </c>
    </row>
    <row r="46" spans="4:13">
      <c r="D46" s="66">
        <v>4</v>
      </c>
      <c r="E46" s="66">
        <v>2029</v>
      </c>
      <c r="F46" s="67">
        <f>E37*(1+0.1318)^4</f>
        <v>431132575.413224</v>
      </c>
      <c r="G46" s="67">
        <v>431132575.413224</v>
      </c>
      <c r="J46" s="66">
        <v>4</v>
      </c>
      <c r="K46" s="66">
        <v>2029</v>
      </c>
      <c r="L46" s="66">
        <v>0.5962</v>
      </c>
      <c r="M46" s="67">
        <f t="shared" si="4"/>
        <v>257041241.461364</v>
      </c>
    </row>
    <row r="47" spans="4:13">
      <c r="D47" s="66">
        <v>5</v>
      </c>
      <c r="E47" s="66">
        <v>2030</v>
      </c>
      <c r="F47" s="67">
        <f>E37*(1+0.1318)^5</f>
        <v>487955848.852687</v>
      </c>
      <c r="G47" s="66">
        <f>H41+F47</f>
        <v>5666262816.26896</v>
      </c>
      <c r="J47" s="66">
        <v>5</v>
      </c>
      <c r="K47" s="66">
        <v>2030</v>
      </c>
      <c r="L47" s="66">
        <v>0.5239</v>
      </c>
      <c r="M47" s="67">
        <f>G47*L47</f>
        <v>2968555089.44331</v>
      </c>
    </row>
    <row r="48" spans="4:13">
      <c r="D48" s="68" t="s">
        <v>89</v>
      </c>
      <c r="E48" s="68"/>
      <c r="J48" t="s">
        <v>90</v>
      </c>
      <c r="L48" s="23" t="s">
        <v>91</v>
      </c>
      <c r="M48" s="73">
        <f>SUM(M43:M47)</f>
        <v>4005220072.9058</v>
      </c>
    </row>
    <row r="49" spans="4:5">
      <c r="D49" s="68" t="s">
        <v>91</v>
      </c>
      <c r="E49" s="69">
        <v>4005220072.90579</v>
      </c>
    </row>
    <row r="50" spans="4:5">
      <c r="D50" s="68" t="s">
        <v>92</v>
      </c>
      <c r="E50" s="69">
        <f>E49+('Cost of Debt'!H2+'Cost of Debt'!H3-'Cost of Debt'!H7)</f>
        <v>4446598442.90579</v>
      </c>
    </row>
    <row r="51" spans="4:6">
      <c r="D51" s="68" t="s">
        <v>93</v>
      </c>
      <c r="E51" s="70">
        <v>40780000</v>
      </c>
      <c r="F51" s="71"/>
    </row>
    <row r="52" spans="4:5">
      <c r="D52" s="68" t="s">
        <v>94</v>
      </c>
      <c r="E52" s="68">
        <f>E50/E51</f>
        <v>109.038706299799</v>
      </c>
    </row>
    <row r="53" spans="4:5">
      <c r="D53" s="68" t="s">
        <v>95</v>
      </c>
      <c r="E53" s="72">
        <v>533.1</v>
      </c>
    </row>
  </sheetData>
  <sortState ref="N9:O13">
    <sortCondition ref="O9:O13" descending="1"/>
  </sortState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0"/>
  <sheetViews>
    <sheetView topLeftCell="L32" workbookViewId="0">
      <selection activeCell="R37" sqref="R37"/>
    </sheetView>
  </sheetViews>
  <sheetFormatPr defaultColWidth="9" defaultRowHeight="14.5"/>
  <cols>
    <col min="2" max="2" width="19.4272727272727" customWidth="1"/>
    <col min="3" max="3" width="18.5727272727273" customWidth="1"/>
    <col min="4" max="4" width="23.1363636363636" customWidth="1"/>
    <col min="5" max="5" width="18.8545454545455" customWidth="1"/>
    <col min="6" max="6" width="11.8545454545455" customWidth="1"/>
    <col min="12" max="12" width="16.7090909090909" customWidth="1"/>
    <col min="13" max="13" width="16.1363636363636" customWidth="1"/>
    <col min="14" max="14" width="18.1363636363636" customWidth="1"/>
    <col min="17" max="17" width="5.42727272727273" customWidth="1"/>
    <col min="18" max="18" width="19.4272727272727" customWidth="1"/>
    <col min="19" max="19" width="15" customWidth="1"/>
    <col min="20" max="20" width="21.1363636363636" customWidth="1"/>
    <col min="21" max="21" width="19.4272727272727" customWidth="1"/>
    <col min="22" max="22" width="16.4272727272727" customWidth="1"/>
    <col min="26" max="26" width="15.1363636363636" customWidth="1"/>
    <col min="27" max="27" width="21.7090909090909" customWidth="1"/>
    <col min="28" max="28" width="17.1363636363636" customWidth="1"/>
  </cols>
  <sheetData>
    <row r="1" spans="1:1">
      <c r="A1" t="s">
        <v>96</v>
      </c>
    </row>
    <row r="2" spans="1:1">
      <c r="A2" t="s">
        <v>97</v>
      </c>
    </row>
    <row r="3" spans="2:2">
      <c r="B3" s="57">
        <v>417322144</v>
      </c>
    </row>
    <row r="4" spans="1:1">
      <c r="A4" t="s">
        <v>98</v>
      </c>
    </row>
    <row r="5" spans="2:2">
      <c r="B5" s="5">
        <v>4923815</v>
      </c>
    </row>
    <row r="6" spans="1:1">
      <c r="A6" t="s">
        <v>35</v>
      </c>
    </row>
    <row r="7" spans="2:2">
      <c r="B7" s="53">
        <v>0.276878640763558</v>
      </c>
    </row>
    <row r="8" spans="1:1">
      <c r="A8" t="s">
        <v>70</v>
      </c>
    </row>
    <row r="9" spans="2:2">
      <c r="B9" s="58">
        <v>49593307</v>
      </c>
    </row>
    <row r="10" spans="1:1">
      <c r="A10" t="s">
        <v>99</v>
      </c>
    </row>
    <row r="11" spans="2:2">
      <c r="B11" s="58">
        <v>1415000</v>
      </c>
    </row>
    <row r="12" spans="1:1">
      <c r="A12" t="s">
        <v>72</v>
      </c>
    </row>
    <row r="13" spans="2:2">
      <c r="B13" s="59">
        <f>B9-B11</f>
        <v>48178307</v>
      </c>
    </row>
    <row r="14" spans="1:1">
      <c r="A14" t="s">
        <v>100</v>
      </c>
    </row>
    <row r="15" spans="2:2">
      <c r="B15" s="23">
        <f>'Kohinoor Balance Sheet'!B18+'Kohinoor Balance Sheet'!B23</f>
        <v>326089784</v>
      </c>
    </row>
    <row r="16" spans="1:1">
      <c r="A16" t="s">
        <v>101</v>
      </c>
    </row>
    <row r="17" spans="2:2">
      <c r="B17" s="23">
        <f>'Kohinoor Balance Sheet'!C18+'Kohinoor Balance Sheet'!C23</f>
        <v>335967212</v>
      </c>
    </row>
    <row r="18" spans="1:1">
      <c r="A18" t="s">
        <v>102</v>
      </c>
    </row>
    <row r="19" spans="2:2">
      <c r="B19" s="23">
        <f>B15-B17</f>
        <v>-9877428</v>
      </c>
    </row>
    <row r="21" spans="4:5">
      <c r="D21" t="s">
        <v>103</v>
      </c>
      <c r="E21" s="23" t="s">
        <v>104</v>
      </c>
    </row>
    <row r="22" spans="5:5">
      <c r="E22" s="60">
        <f>B3+B5*(1-B7)-B13</f>
        <v>372704352.795429</v>
      </c>
    </row>
    <row r="23" spans="4:5">
      <c r="D23" s="61" t="s">
        <v>105</v>
      </c>
      <c r="E23" s="62" t="s">
        <v>106</v>
      </c>
    </row>
    <row r="24" spans="5:5">
      <c r="E24" s="63">
        <f>E22-B5*(1-B7)+B19</f>
        <v>359266409</v>
      </c>
    </row>
    <row r="32" ht="26" spans="2:21">
      <c r="B32" s="64" t="s">
        <v>107</v>
      </c>
      <c r="C32" s="65"/>
      <c r="D32" s="65"/>
      <c r="R32" s="64" t="s">
        <v>108</v>
      </c>
      <c r="S32" s="65"/>
      <c r="T32" s="65"/>
      <c r="U32" s="65"/>
    </row>
    <row r="33" spans="2:19">
      <c r="B33" s="43" t="s">
        <v>17</v>
      </c>
      <c r="C33" s="43" t="s">
        <v>109</v>
      </c>
      <c r="R33" s="43" t="s">
        <v>17</v>
      </c>
      <c r="S33" s="43" t="s">
        <v>110</v>
      </c>
    </row>
    <row r="34" spans="2:19">
      <c r="B34" s="43">
        <v>2025</v>
      </c>
      <c r="C34" s="45">
        <v>372704352.795429</v>
      </c>
      <c r="R34" s="43">
        <v>2025</v>
      </c>
      <c r="S34" s="45">
        <v>359266409</v>
      </c>
    </row>
    <row r="35" spans="2:19">
      <c r="B35" s="44" t="s">
        <v>79</v>
      </c>
      <c r="C35" s="52">
        <v>0.04</v>
      </c>
      <c r="R35" s="44" t="s">
        <v>79</v>
      </c>
      <c r="S35" s="52">
        <v>0.04</v>
      </c>
    </row>
    <row r="36" spans="2:19">
      <c r="B36" s="44" t="s">
        <v>29</v>
      </c>
      <c r="C36" s="23">
        <f>0.138024896225991*100</f>
        <v>13.8024896225991</v>
      </c>
      <c r="R36" s="44" t="s">
        <v>111</v>
      </c>
      <c r="S36" s="53">
        <v>0.1405</v>
      </c>
    </row>
    <row r="37" spans="2:19">
      <c r="B37" s="44" t="s">
        <v>80</v>
      </c>
      <c r="C37" s="23">
        <f>0.131798365631002*100</f>
        <v>13.1798365631002</v>
      </c>
      <c r="R37" s="44" t="s">
        <v>80</v>
      </c>
      <c r="S37" s="23">
        <f>0.131798365631002*100</f>
        <v>13.1798365631002</v>
      </c>
    </row>
    <row r="38" spans="2:25">
      <c r="B38" s="23" t="s">
        <v>81</v>
      </c>
      <c r="E38" t="s">
        <v>82</v>
      </c>
      <c r="F38" s="23">
        <f>D44*1.04/(0.138-0.04)</f>
        <v>7345479930.57162</v>
      </c>
      <c r="K38" t="s">
        <v>83</v>
      </c>
      <c r="R38" s="23" t="s">
        <v>81</v>
      </c>
      <c r="U38" t="s">
        <v>82</v>
      </c>
      <c r="V38" s="23">
        <f>T44*1.04/(0.138-0.04)</f>
        <v>7080636910.31409</v>
      </c>
      <c r="Y38" t="s">
        <v>83</v>
      </c>
    </row>
    <row r="39" spans="2:28">
      <c r="B39" s="66" t="s">
        <v>84</v>
      </c>
      <c r="C39" s="66" t="s">
        <v>17</v>
      </c>
      <c r="D39" s="66" t="s">
        <v>112</v>
      </c>
      <c r="E39" s="66" t="s">
        <v>113</v>
      </c>
      <c r="K39" s="66" t="s">
        <v>84</v>
      </c>
      <c r="L39" s="66" t="s">
        <v>17</v>
      </c>
      <c r="M39" s="66" t="s">
        <v>87</v>
      </c>
      <c r="N39" s="66" t="s">
        <v>88</v>
      </c>
      <c r="R39" s="66" t="s">
        <v>84</v>
      </c>
      <c r="S39" s="66" t="s">
        <v>17</v>
      </c>
      <c r="T39" s="66" t="s">
        <v>112</v>
      </c>
      <c r="U39" s="66" t="s">
        <v>113</v>
      </c>
      <c r="Y39" s="66" t="s">
        <v>84</v>
      </c>
      <c r="Z39" s="66" t="s">
        <v>17</v>
      </c>
      <c r="AA39" s="66" t="s">
        <v>87</v>
      </c>
      <c r="AB39" s="66" t="s">
        <v>88</v>
      </c>
    </row>
    <row r="40" spans="2:28">
      <c r="B40" s="66">
        <v>1</v>
      </c>
      <c r="C40" s="66">
        <v>2026</v>
      </c>
      <c r="D40" s="67">
        <v>421826177</v>
      </c>
      <c r="E40" s="67">
        <v>297373161.208</v>
      </c>
      <c r="K40" s="66">
        <v>1</v>
      </c>
      <c r="L40" s="66">
        <v>2026</v>
      </c>
      <c r="M40" s="66">
        <v>0.8787</v>
      </c>
      <c r="N40" s="67">
        <f>D40*M40</f>
        <v>370658661.7299</v>
      </c>
      <c r="R40" s="66">
        <v>1</v>
      </c>
      <c r="S40" s="66">
        <v>2026</v>
      </c>
      <c r="T40" s="67">
        <f>S34*(1+0.1317)^1</f>
        <v>406581795.0653</v>
      </c>
      <c r="U40" s="67">
        <v>297373161.208</v>
      </c>
      <c r="Y40" s="66">
        <v>1</v>
      </c>
      <c r="Z40" s="66">
        <v>2026</v>
      </c>
      <c r="AA40" s="66">
        <f>1/(1+0.1405)^Y40</f>
        <v>0.876808417360807</v>
      </c>
      <c r="AB40" s="67">
        <f>T40*AA40</f>
        <v>356494340.258922</v>
      </c>
    </row>
    <row r="41" spans="2:28">
      <c r="B41" s="66">
        <v>2</v>
      </c>
      <c r="C41" s="66">
        <v>2027</v>
      </c>
      <c r="D41" s="67">
        <f>C34*(1+0.1318)^2</f>
        <v>477423556.953758</v>
      </c>
      <c r="E41" s="67">
        <v>336566943.855214</v>
      </c>
      <c r="K41" s="66">
        <v>2</v>
      </c>
      <c r="L41" s="66">
        <v>2027</v>
      </c>
      <c r="M41" s="66">
        <v>0.7721</v>
      </c>
      <c r="N41" s="67">
        <f t="shared" ref="N41:N44" si="0">D41*M41</f>
        <v>368618728.323996</v>
      </c>
      <c r="R41" s="66">
        <v>2</v>
      </c>
      <c r="S41" s="66">
        <v>2027</v>
      </c>
      <c r="T41" s="67">
        <f>S34*(1+0.1318)^2</f>
        <v>460209937.427077</v>
      </c>
      <c r="U41" s="67">
        <v>336566943.855214</v>
      </c>
      <c r="Y41" s="66">
        <v>2</v>
      </c>
      <c r="Z41" s="66">
        <v>2027</v>
      </c>
      <c r="AA41" s="66">
        <f t="shared" ref="AA41:AA44" si="1">1/(1+0.1405)^Y41</f>
        <v>0.768793000754762</v>
      </c>
      <c r="AB41" s="67">
        <f>T41*AA41</f>
        <v>353806178.771724</v>
      </c>
    </row>
    <row r="42" spans="2:28">
      <c r="B42" s="66">
        <v>3</v>
      </c>
      <c r="C42" s="66">
        <v>2028</v>
      </c>
      <c r="D42" s="67">
        <f>C34*(1+0.1318)^3</f>
        <v>540347981.760263</v>
      </c>
      <c r="E42" s="67">
        <v>380926467.055332</v>
      </c>
      <c r="K42" s="66">
        <v>3</v>
      </c>
      <c r="L42" s="66">
        <v>2028</v>
      </c>
      <c r="M42" s="66">
        <v>0.6785</v>
      </c>
      <c r="N42" s="67">
        <f t="shared" si="0"/>
        <v>366626105.624338</v>
      </c>
      <c r="R42" s="66">
        <v>3</v>
      </c>
      <c r="S42" s="66">
        <v>2028</v>
      </c>
      <c r="T42" s="67">
        <f>S34*(1+0.1318)^3</f>
        <v>520865607.179966</v>
      </c>
      <c r="U42" s="67">
        <v>380926467.055332</v>
      </c>
      <c r="Y42" s="66">
        <v>3</v>
      </c>
      <c r="Z42" s="66">
        <v>2028</v>
      </c>
      <c r="AA42" s="66">
        <f t="shared" si="1"/>
        <v>0.674084174269849</v>
      </c>
      <c r="AB42" s="67">
        <f>T42*AA42</f>
        <v>351107262.721471</v>
      </c>
    </row>
    <row r="43" spans="2:28">
      <c r="B43" s="66">
        <v>4</v>
      </c>
      <c r="C43" s="66">
        <v>2029</v>
      </c>
      <c r="D43" s="67">
        <f>C34*(1+0.1318)^4</f>
        <v>611565845.756266</v>
      </c>
      <c r="E43" s="67">
        <v>431132575.413224</v>
      </c>
      <c r="K43" s="66">
        <v>4</v>
      </c>
      <c r="L43" s="66">
        <v>2029</v>
      </c>
      <c r="M43" s="66">
        <v>0.5962</v>
      </c>
      <c r="N43" s="67">
        <f t="shared" si="0"/>
        <v>364615557.239886</v>
      </c>
      <c r="R43" s="66">
        <v>4</v>
      </c>
      <c r="S43" s="66">
        <v>2029</v>
      </c>
      <c r="T43" s="67">
        <f>S34*(1+0.1318)^4</f>
        <v>589515694.206285</v>
      </c>
      <c r="U43" s="67">
        <v>431132575.413224</v>
      </c>
      <c r="Y43" s="66">
        <v>4</v>
      </c>
      <c r="Z43" s="66">
        <v>2029</v>
      </c>
      <c r="AA43" s="66">
        <f t="shared" si="1"/>
        <v>0.591042678009512</v>
      </c>
      <c r="AB43" s="67">
        <f>T43*AA43</f>
        <v>348428934.632319</v>
      </c>
    </row>
    <row r="44" spans="2:28">
      <c r="B44" s="66">
        <v>5</v>
      </c>
      <c r="C44" s="66">
        <v>2030</v>
      </c>
      <c r="D44" s="67">
        <f>C34*(1+0.1318)^5</f>
        <v>692170224.226941</v>
      </c>
      <c r="E44" s="67">
        <f>F38+D44</f>
        <v>8037650154.79856</v>
      </c>
      <c r="K44" s="66">
        <v>5</v>
      </c>
      <c r="L44" s="66">
        <v>2030</v>
      </c>
      <c r="M44" s="66">
        <v>0.5239</v>
      </c>
      <c r="N44" s="67">
        <f>E44*M44</f>
        <v>4210924916.09897</v>
      </c>
      <c r="R44" s="66">
        <v>5</v>
      </c>
      <c r="S44" s="66">
        <v>2030</v>
      </c>
      <c r="T44" s="67">
        <f>S34*(1+0.1318)^5</f>
        <v>667213862.702674</v>
      </c>
      <c r="U44" s="67">
        <f>V38+T44</f>
        <v>7747850773.01676</v>
      </c>
      <c r="Y44" s="66">
        <v>5</v>
      </c>
      <c r="Z44" s="66">
        <v>2030</v>
      </c>
      <c r="AA44" s="66">
        <f t="shared" si="1"/>
        <v>0.518231195098213</v>
      </c>
      <c r="AB44" s="67">
        <f>U44*AA44</f>
        <v>4015177965.54309</v>
      </c>
    </row>
    <row r="45" spans="2:28">
      <c r="B45" s="68" t="s">
        <v>114</v>
      </c>
      <c r="C45" s="68"/>
      <c r="K45" t="s">
        <v>90</v>
      </c>
      <c r="M45" s="23" t="s">
        <v>91</v>
      </c>
      <c r="N45" s="73">
        <f>SUM(N40:N44)</f>
        <v>5681443969.01709</v>
      </c>
      <c r="R45" s="68" t="s">
        <v>115</v>
      </c>
      <c r="S45" s="68"/>
      <c r="T45" s="65"/>
      <c r="Y45" t="s">
        <v>116</v>
      </c>
      <c r="AA45" s="23" t="s">
        <v>91</v>
      </c>
      <c r="AB45" s="73">
        <f>SUM(AB40:AB44)</f>
        <v>5425014681.92753</v>
      </c>
    </row>
    <row r="46" spans="2:19">
      <c r="B46" s="68" t="s">
        <v>91</v>
      </c>
      <c r="C46" s="69">
        <v>5681443969.01709</v>
      </c>
      <c r="R46" s="68" t="s">
        <v>91</v>
      </c>
      <c r="S46" s="69">
        <v>5425014681.92753</v>
      </c>
    </row>
    <row r="47" spans="2:19">
      <c r="B47" s="68" t="s">
        <v>92</v>
      </c>
      <c r="C47" s="69">
        <f>C46+('Cost of Debt'!H2+'Cost of Debt'!H3-'Cost of Debt'!H7)</f>
        <v>6122822339.01709</v>
      </c>
      <c r="R47" s="68" t="s">
        <v>92</v>
      </c>
      <c r="S47" s="69">
        <v>5425014681.92753</v>
      </c>
    </row>
    <row r="48" spans="2:20">
      <c r="B48" s="68" t="s">
        <v>93</v>
      </c>
      <c r="C48" s="70">
        <v>40780000</v>
      </c>
      <c r="D48" s="71"/>
      <c r="R48" s="68" t="s">
        <v>93</v>
      </c>
      <c r="S48" s="70">
        <v>40780000</v>
      </c>
      <c r="T48" s="71"/>
    </row>
    <row r="49" spans="2:19">
      <c r="B49" s="68" t="s">
        <v>94</v>
      </c>
      <c r="C49" s="68">
        <f>C47/C48</f>
        <v>150.142774375113</v>
      </c>
      <c r="R49" s="68" t="s">
        <v>94</v>
      </c>
      <c r="S49" s="68">
        <f>S47/S48</f>
        <v>133.031257526423</v>
      </c>
    </row>
    <row r="50" spans="2:19">
      <c r="B50" s="68" t="s">
        <v>95</v>
      </c>
      <c r="C50" s="72">
        <v>533.1</v>
      </c>
      <c r="R50" s="68" t="s">
        <v>95</v>
      </c>
      <c r="S50" s="72">
        <v>533.1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D1" workbookViewId="0">
      <selection activeCell="C2" sqref="C2"/>
    </sheetView>
  </sheetViews>
  <sheetFormatPr defaultColWidth="9" defaultRowHeight="14.5"/>
  <cols>
    <col min="1" max="1" width="24.4272727272727" customWidth="1"/>
    <col min="2" max="2" width="15.5727272727273" customWidth="1"/>
    <col min="3" max="3" width="17.5727272727273" customWidth="1"/>
    <col min="4" max="4" width="19" customWidth="1"/>
    <col min="5" max="5" width="25.5727272727273" customWidth="1"/>
    <col min="6" max="6" width="22" customWidth="1"/>
    <col min="7" max="7" width="23.4272727272727" customWidth="1"/>
    <col min="8" max="8" width="29.8545454545455" customWidth="1"/>
    <col min="11" max="11" width="14" customWidth="1"/>
    <col min="12" max="12" width="19.2818181818182" customWidth="1"/>
    <col min="13" max="13" width="21.2818181818182" customWidth="1"/>
    <col min="14" max="14" width="20.5727272727273" customWidth="1"/>
    <col min="15" max="15" width="13.5727272727273" customWidth="1"/>
    <col min="16" max="16" width="22.7090909090909" customWidth="1"/>
  </cols>
  <sheetData>
    <row r="1" ht="26" spans="1:7">
      <c r="A1" s="42" t="s">
        <v>117</v>
      </c>
      <c r="B1" s="42"/>
      <c r="C1" s="42"/>
      <c r="D1" s="42"/>
      <c r="E1" s="42"/>
      <c r="F1" s="42"/>
      <c r="G1" s="42"/>
    </row>
    <row r="3" spans="1:9">
      <c r="A3" s="43">
        <v>2025</v>
      </c>
      <c r="B3" s="43"/>
      <c r="H3" s="44" t="s">
        <v>79</v>
      </c>
      <c r="I3" s="52">
        <v>0.04</v>
      </c>
    </row>
    <row r="4" spans="1:9">
      <c r="A4" s="43" t="s">
        <v>118</v>
      </c>
      <c r="B4" s="45">
        <f>'Kohinoor Income Statement'!B16</f>
        <v>632018276</v>
      </c>
      <c r="H4" s="44" t="s">
        <v>29</v>
      </c>
      <c r="I4" s="53">
        <f>'Cost of Equity'!B14</f>
        <v>0.138024896225991</v>
      </c>
    </row>
    <row r="5" spans="1:9">
      <c r="A5" t="s">
        <v>119</v>
      </c>
      <c r="B5" s="9">
        <f>10.66/100</f>
        <v>0.1066</v>
      </c>
      <c r="H5" s="44" t="s">
        <v>80</v>
      </c>
      <c r="I5" s="53">
        <f>'Cost of Equity'!B4</f>
        <v>0.131798365631002</v>
      </c>
    </row>
    <row r="6" spans="1:2">
      <c r="A6" t="s">
        <v>120</v>
      </c>
      <c r="B6">
        <f>'Cost of Equity'!K3*'Cost of Equity'!B7</f>
        <v>265070000</v>
      </c>
    </row>
    <row r="7" spans="1:2">
      <c r="A7" t="s">
        <v>121</v>
      </c>
      <c r="B7" s="26">
        <f>'Cost of Equity'!B4</f>
        <v>0.131798365631002</v>
      </c>
    </row>
    <row r="8" spans="1:2">
      <c r="A8" t="s">
        <v>122</v>
      </c>
      <c r="B8" s="46">
        <f>'Cost of Equity'!B7</f>
        <v>40780000</v>
      </c>
    </row>
    <row r="9" ht="26" spans="11:16">
      <c r="K9" s="54" t="s">
        <v>123</v>
      </c>
      <c r="L9" s="54"/>
      <c r="M9" s="54"/>
      <c r="N9" s="54"/>
      <c r="O9" s="54"/>
      <c r="P9" s="54"/>
    </row>
    <row r="10" spans="4:16">
      <c r="D10">
        <v>1</v>
      </c>
      <c r="E10">
        <v>2</v>
      </c>
      <c r="F10">
        <v>3</v>
      </c>
      <c r="G10">
        <v>4</v>
      </c>
      <c r="H10">
        <v>5</v>
      </c>
      <c r="L10">
        <v>1</v>
      </c>
      <c r="M10">
        <v>2</v>
      </c>
      <c r="N10">
        <v>3</v>
      </c>
      <c r="O10">
        <v>4</v>
      </c>
      <c r="P10">
        <v>5</v>
      </c>
    </row>
    <row r="11" spans="3:16">
      <c r="C11" s="47" t="s">
        <v>17</v>
      </c>
      <c r="D11" s="47">
        <v>2026</v>
      </c>
      <c r="E11" s="47">
        <v>2027</v>
      </c>
      <c r="F11" s="47">
        <v>2028</v>
      </c>
      <c r="G11" s="47">
        <v>2029</v>
      </c>
      <c r="H11" s="47">
        <v>2030</v>
      </c>
      <c r="K11" s="47" t="s">
        <v>17</v>
      </c>
      <c r="L11" s="47">
        <v>2026</v>
      </c>
      <c r="M11" s="47">
        <v>2027</v>
      </c>
      <c r="N11" s="47">
        <v>2028</v>
      </c>
      <c r="O11" s="47">
        <v>2029</v>
      </c>
      <c r="P11" s="47">
        <v>2030</v>
      </c>
    </row>
    <row r="12" spans="3:16">
      <c r="C12" s="47" t="s">
        <v>118</v>
      </c>
      <c r="D12" s="48">
        <f>$B$4*(1+$B$5)^D10</f>
        <v>699391424.2216</v>
      </c>
      <c r="E12" s="48">
        <f t="shared" ref="E12:H12" si="0">$B$4*(1+$B$5)^E10</f>
        <v>773946550.043623</v>
      </c>
      <c r="F12" s="48">
        <f t="shared" si="0"/>
        <v>856449252.278273</v>
      </c>
      <c r="G12" s="48">
        <f t="shared" si="0"/>
        <v>947746742.571137</v>
      </c>
      <c r="H12" s="48">
        <f t="shared" si="0"/>
        <v>1048776545.32922</v>
      </c>
      <c r="K12" s="47" t="s">
        <v>118</v>
      </c>
      <c r="L12" s="48">
        <f>D12</f>
        <v>699391424.2216</v>
      </c>
      <c r="M12" s="48">
        <f t="shared" ref="M12:P12" si="1">E12</f>
        <v>773946550.043623</v>
      </c>
      <c r="N12" s="48">
        <f t="shared" si="1"/>
        <v>856449252.278273</v>
      </c>
      <c r="O12" s="48">
        <f t="shared" si="1"/>
        <v>947746742.571137</v>
      </c>
      <c r="P12" s="48">
        <f t="shared" si="1"/>
        <v>1048776545.32922</v>
      </c>
    </row>
    <row r="13" spans="3:16">
      <c r="C13" s="47" t="s">
        <v>120</v>
      </c>
      <c r="D13" s="48">
        <f>$B$6*(1+$B$7)^D10</f>
        <v>300005792.77781</v>
      </c>
      <c r="E13" s="48">
        <f t="shared" ref="E13:H13" si="2">$B$6*(1+$B$7)^E10</f>
        <v>339546065.945758</v>
      </c>
      <c r="F13" s="48">
        <f t="shared" si="2"/>
        <v>384297682.493845</v>
      </c>
      <c r="G13" s="48">
        <f t="shared" si="2"/>
        <v>434947488.962316</v>
      </c>
      <c r="H13" s="48">
        <f t="shared" si="2"/>
        <v>492272857.142857</v>
      </c>
      <c r="K13" s="47" t="s">
        <v>120</v>
      </c>
      <c r="L13" s="48">
        <f>$B$6*(1+$B$7)^L10</f>
        <v>300005792.77781</v>
      </c>
      <c r="M13" s="48">
        <f t="shared" ref="M13:P13" si="3">$B$6*(1+$B$7)^M10</f>
        <v>339546065.945758</v>
      </c>
      <c r="N13" s="48">
        <f t="shared" si="3"/>
        <v>384297682.493845</v>
      </c>
      <c r="O13" s="48">
        <f t="shared" si="3"/>
        <v>434947488.962316</v>
      </c>
      <c r="P13" s="48">
        <f t="shared" si="3"/>
        <v>492272857.142857</v>
      </c>
    </row>
    <row r="14" spans="3:16">
      <c r="C14" s="47" t="s">
        <v>124</v>
      </c>
      <c r="D14" s="49">
        <f>$B$8</f>
        <v>40780000</v>
      </c>
      <c r="E14" s="49">
        <f t="shared" ref="E14:H14" si="4">$B$8</f>
        <v>40780000</v>
      </c>
      <c r="F14" s="49">
        <f t="shared" si="4"/>
        <v>40780000</v>
      </c>
      <c r="G14" s="49">
        <f t="shared" si="4"/>
        <v>40780000</v>
      </c>
      <c r="H14" s="49">
        <f t="shared" si="4"/>
        <v>40780000</v>
      </c>
      <c r="K14" s="47" t="s">
        <v>124</v>
      </c>
      <c r="L14" s="49">
        <f>$B$8</f>
        <v>40780000</v>
      </c>
      <c r="M14" s="49">
        <f t="shared" ref="M14:P14" si="5">$B$8</f>
        <v>40780000</v>
      </c>
      <c r="N14" s="49">
        <f t="shared" si="5"/>
        <v>40780000</v>
      </c>
      <c r="O14" s="49">
        <f t="shared" si="5"/>
        <v>40780000</v>
      </c>
      <c r="P14" s="49">
        <f t="shared" si="5"/>
        <v>40780000</v>
      </c>
    </row>
    <row r="15" spans="3:16">
      <c r="C15" s="47" t="s">
        <v>125</v>
      </c>
      <c r="D15" s="47">
        <f>D13/D14</f>
        <v>7.35668937660151</v>
      </c>
      <c r="E15" s="47">
        <f t="shared" ref="E15:H15" si="6">E13/E14</f>
        <v>8.32628901289254</v>
      </c>
      <c r="F15" s="47">
        <f t="shared" si="6"/>
        <v>9.42368029656315</v>
      </c>
      <c r="G15" s="47">
        <f t="shared" si="6"/>
        <v>10.6657059578792</v>
      </c>
      <c r="H15" s="47">
        <f t="shared" si="6"/>
        <v>12.0714285714286</v>
      </c>
      <c r="K15" t="s">
        <v>126</v>
      </c>
      <c r="L15">
        <v>1</v>
      </c>
      <c r="M15">
        <v>2</v>
      </c>
      <c r="N15">
        <v>3</v>
      </c>
      <c r="O15">
        <v>4</v>
      </c>
      <c r="P15">
        <v>5</v>
      </c>
    </row>
    <row r="16" spans="3:16">
      <c r="C16" s="50" t="s">
        <v>127</v>
      </c>
      <c r="D16" s="50"/>
      <c r="E16" s="50"/>
      <c r="F16" s="50"/>
      <c r="G16" s="50"/>
      <c r="H16" s="51">
        <f>H15/($I$4-$I$3)</f>
        <v>123.146558029489</v>
      </c>
      <c r="K16" s="47" t="s">
        <v>125</v>
      </c>
      <c r="L16" s="47">
        <f>D15</f>
        <v>7.35668937660151</v>
      </c>
      <c r="M16" s="47">
        <f t="shared" ref="M16:P16" si="7">E15</f>
        <v>8.32628901289254</v>
      </c>
      <c r="N16" s="47">
        <f t="shared" si="7"/>
        <v>9.42368029656315</v>
      </c>
      <c r="O16" s="47">
        <f t="shared" si="7"/>
        <v>10.6657059578792</v>
      </c>
      <c r="P16" s="47">
        <f t="shared" si="7"/>
        <v>12.0714285714286</v>
      </c>
    </row>
    <row r="17" spans="3:16">
      <c r="C17" s="47" t="s">
        <v>128</v>
      </c>
      <c r="D17" s="47">
        <f>D15</f>
        <v>7.35668937660151</v>
      </c>
      <c r="E17" s="47">
        <f>E15</f>
        <v>8.32628901289254</v>
      </c>
      <c r="F17" s="47">
        <f t="shared" ref="F17:G17" si="8">F15</f>
        <v>9.42368029656315</v>
      </c>
      <c r="G17" s="47">
        <f t="shared" si="8"/>
        <v>10.6657059578792</v>
      </c>
      <c r="H17" s="47">
        <f>SUM(H15:H16)</f>
        <v>135.217986600917</v>
      </c>
      <c r="K17" s="50" t="s">
        <v>127</v>
      </c>
      <c r="L17" s="50"/>
      <c r="M17" s="50"/>
      <c r="N17" s="50"/>
      <c r="O17" s="50"/>
      <c r="P17" s="51">
        <f>H16</f>
        <v>123.146558029489</v>
      </c>
    </row>
    <row r="18" spans="3:16">
      <c r="C18" s="47" t="s">
        <v>129</v>
      </c>
      <c r="D18" s="47">
        <f>NPV(I4,D17:H17)*(1+I4)^0.5</f>
        <v>102.929393963743</v>
      </c>
      <c r="E18" s="47"/>
      <c r="F18" s="47"/>
      <c r="G18" s="47"/>
      <c r="H18" s="47"/>
      <c r="K18" s="50" t="s">
        <v>128</v>
      </c>
      <c r="L18" s="50">
        <f>L16</f>
        <v>7.35668937660151</v>
      </c>
      <c r="M18" s="50">
        <f>M16</f>
        <v>8.32628901289254</v>
      </c>
      <c r="N18" s="50">
        <f>N16</f>
        <v>9.42368029656315</v>
      </c>
      <c r="O18" s="50">
        <f>O16</f>
        <v>10.6657059578792</v>
      </c>
      <c r="P18" s="50">
        <f>SUM(P16:P17)</f>
        <v>135.217986600917</v>
      </c>
    </row>
    <row r="19" spans="11:16">
      <c r="K19" s="55" t="s">
        <v>130</v>
      </c>
      <c r="L19" s="55"/>
      <c r="M19" s="55"/>
      <c r="N19" s="55"/>
      <c r="O19" s="55"/>
      <c r="P19" s="55"/>
    </row>
    <row r="20" spans="11:16">
      <c r="K20" s="55">
        <f>D18</f>
        <v>102.929393963743</v>
      </c>
      <c r="L20" s="55"/>
      <c r="M20" s="55"/>
      <c r="N20" s="55"/>
      <c r="O20" s="55"/>
      <c r="P20" s="55"/>
    </row>
    <row r="21" spans="11:16">
      <c r="K21" s="55" t="s">
        <v>131</v>
      </c>
      <c r="L21" s="55"/>
      <c r="M21" s="55"/>
      <c r="N21" s="55"/>
      <c r="O21" s="55"/>
      <c r="P21" s="55"/>
    </row>
    <row r="22" spans="11:16">
      <c r="K22" s="56">
        <v>533.1</v>
      </c>
      <c r="L22" s="56"/>
      <c r="M22" s="56"/>
      <c r="N22" s="56"/>
      <c r="O22" s="56"/>
      <c r="P22" s="56"/>
    </row>
    <row r="23" spans="11:16">
      <c r="K23" s="32"/>
      <c r="L23" s="32"/>
      <c r="M23" s="32"/>
      <c r="N23" s="32"/>
      <c r="O23" s="32"/>
      <c r="P23" s="32"/>
    </row>
  </sheetData>
  <mergeCells count="6">
    <mergeCell ref="A1:G1"/>
    <mergeCell ref="K9:P9"/>
    <mergeCell ref="K19:P19"/>
    <mergeCell ref="K20:P20"/>
    <mergeCell ref="K21:P21"/>
    <mergeCell ref="K22:P2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8"/>
  <sheetViews>
    <sheetView workbookViewId="0">
      <selection activeCell="J15" sqref="J15"/>
    </sheetView>
  </sheetViews>
  <sheetFormatPr defaultColWidth="9" defaultRowHeight="14.5" outlineLevelRow="7" outlineLevelCol="6"/>
  <cols>
    <col min="3" max="3" width="12.5727272727273" customWidth="1"/>
  </cols>
  <sheetData>
    <row r="3" spans="3:7">
      <c r="C3" s="29" t="s">
        <v>132</v>
      </c>
      <c r="D3" s="30"/>
      <c r="E3" s="30"/>
      <c r="F3" s="30"/>
      <c r="G3" s="31"/>
    </row>
    <row r="4" spans="2:7">
      <c r="B4" s="32"/>
      <c r="C4" s="33" t="s">
        <v>133</v>
      </c>
      <c r="D4" s="32">
        <f>'Kohinoor Income Statement'!B17</f>
        <v>17.05</v>
      </c>
      <c r="E4" s="34" t="s">
        <v>134</v>
      </c>
      <c r="F4" s="32">
        <f>'DDM Valuation '!K22</f>
        <v>533.1</v>
      </c>
      <c r="G4" s="35"/>
    </row>
    <row r="5" spans="2:7">
      <c r="B5" s="32"/>
      <c r="C5" s="36" t="s">
        <v>135</v>
      </c>
      <c r="D5" s="32">
        <f>F4/D4</f>
        <v>31.266862170088</v>
      </c>
      <c r="E5" s="32"/>
      <c r="F5" s="32"/>
      <c r="G5" s="35"/>
    </row>
    <row r="6" spans="2:7">
      <c r="B6" s="32"/>
      <c r="C6" s="36" t="s">
        <v>136</v>
      </c>
      <c r="D6" s="32">
        <v>62.09</v>
      </c>
      <c r="E6" s="32"/>
      <c r="F6" s="32"/>
      <c r="G6" s="35"/>
    </row>
    <row r="7" ht="15.25" spans="2:7">
      <c r="B7" s="32"/>
      <c r="C7" s="37"/>
      <c r="D7" s="38" t="s">
        <v>137</v>
      </c>
      <c r="E7" s="38"/>
      <c r="F7" s="39">
        <f>D6*D4</f>
        <v>1058.6345</v>
      </c>
      <c r="G7" s="40"/>
    </row>
    <row r="8" spans="3:7">
      <c r="C8" s="32"/>
      <c r="D8" s="41"/>
      <c r="E8" s="41"/>
      <c r="F8" s="32"/>
      <c r="G8" s="32"/>
    </row>
  </sheetData>
  <mergeCells count="3">
    <mergeCell ref="C3:G3"/>
    <mergeCell ref="D7:E7"/>
    <mergeCell ref="D8:E8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7" sqref="A17"/>
    </sheetView>
  </sheetViews>
  <sheetFormatPr defaultColWidth="9" defaultRowHeight="14.5" outlineLevelCol="7"/>
  <cols>
    <col min="1" max="1" width="27.2818181818182" customWidth="1"/>
    <col min="2" max="7" width="13.7090909090909" customWidth="1"/>
  </cols>
  <sheetData>
    <row r="1" s="21" customFormat="1" ht="15.5" spans="1:7">
      <c r="A1" s="22" t="s">
        <v>138</v>
      </c>
      <c r="B1" s="22"/>
      <c r="C1" s="22"/>
      <c r="D1" s="22"/>
      <c r="E1" s="22"/>
      <c r="F1" s="22"/>
      <c r="G1" s="22"/>
    </row>
    <row r="2" spans="1:7">
      <c r="A2" s="23" t="s">
        <v>36</v>
      </c>
      <c r="B2" s="23">
        <v>2025</v>
      </c>
      <c r="C2" s="23">
        <v>2024</v>
      </c>
      <c r="D2" s="23">
        <v>2023</v>
      </c>
      <c r="E2" s="23">
        <v>2022</v>
      </c>
      <c r="F2" s="23">
        <v>2021</v>
      </c>
      <c r="G2" s="23">
        <v>2020</v>
      </c>
    </row>
    <row r="3" spans="1:7">
      <c r="A3" s="24" t="s">
        <v>139</v>
      </c>
      <c r="B3" s="25">
        <v>6469741882</v>
      </c>
      <c r="C3" s="25">
        <v>5789042682</v>
      </c>
      <c r="D3" s="25">
        <v>5357546402</v>
      </c>
      <c r="E3" s="25">
        <v>4705164873</v>
      </c>
      <c r="F3" s="25">
        <v>4167164821</v>
      </c>
      <c r="G3" s="25">
        <v>3899549785</v>
      </c>
    </row>
    <row r="4" spans="1:7">
      <c r="A4" s="24" t="s">
        <v>140</v>
      </c>
      <c r="B4" s="25">
        <v>632018276</v>
      </c>
      <c r="C4" s="25">
        <v>509531576</v>
      </c>
      <c r="D4" s="25">
        <v>377264315</v>
      </c>
      <c r="E4" s="25">
        <v>316764356</v>
      </c>
      <c r="F4" s="25">
        <v>234004338</v>
      </c>
      <c r="G4" s="25">
        <v>167963362</v>
      </c>
    </row>
    <row r="5" spans="1:7">
      <c r="A5" s="24" t="s">
        <v>141</v>
      </c>
      <c r="B5" s="25">
        <v>3432300280</v>
      </c>
      <c r="C5" s="25">
        <v>2961789149</v>
      </c>
      <c r="D5" s="25">
        <v>3418868778</v>
      </c>
      <c r="E5" s="25">
        <v>2907419574</v>
      </c>
      <c r="F5" s="25">
        <v>2542959283</v>
      </c>
      <c r="G5" s="25">
        <v>2021996287</v>
      </c>
    </row>
    <row r="6" spans="1:7">
      <c r="A6" s="24" t="s">
        <v>142</v>
      </c>
      <c r="B6" s="25">
        <v>2415657269</v>
      </c>
      <c r="C6" s="25">
        <v>2033867841</v>
      </c>
      <c r="D6" s="25">
        <v>1821686825</v>
      </c>
      <c r="E6" s="25">
        <v>1493185638</v>
      </c>
      <c r="F6" s="25">
        <v>1233937716</v>
      </c>
      <c r="G6" s="25">
        <v>995804870</v>
      </c>
    </row>
    <row r="8" spans="1:7">
      <c r="A8" s="23" t="s">
        <v>36</v>
      </c>
      <c r="B8" s="23">
        <v>2025</v>
      </c>
      <c r="C8" s="23">
        <v>2024</v>
      </c>
      <c r="D8" s="23">
        <v>2023</v>
      </c>
      <c r="E8" s="23">
        <v>2022</v>
      </c>
      <c r="F8" s="23">
        <v>2021</v>
      </c>
      <c r="G8" s="23">
        <v>2020</v>
      </c>
    </row>
    <row r="9" spans="1:7">
      <c r="A9" s="24" t="s">
        <v>143</v>
      </c>
      <c r="B9" s="9">
        <f>B4/B3</f>
        <v>0.0976883293842665</v>
      </c>
      <c r="C9" s="9">
        <f t="shared" ref="C9:G9" si="0">C4/C3</f>
        <v>0.0880165519567334</v>
      </c>
      <c r="D9" s="9">
        <f t="shared" si="0"/>
        <v>0.0704173677075695</v>
      </c>
      <c r="E9" s="9">
        <f t="shared" si="0"/>
        <v>0.0673226899694233</v>
      </c>
      <c r="F9" s="9">
        <f t="shared" si="0"/>
        <v>0.0561543274748239</v>
      </c>
      <c r="G9" s="9">
        <f t="shared" si="0"/>
        <v>0.0430725009964195</v>
      </c>
    </row>
    <row r="10" spans="1:8">
      <c r="A10" s="24" t="s">
        <v>144</v>
      </c>
      <c r="B10" s="26">
        <f>B3/((B5+C5)/2)</f>
        <v>2.0236632452017</v>
      </c>
      <c r="C10" s="26">
        <f t="shared" ref="C10:F10" si="1">C3/((C5+D5)/2)</f>
        <v>1.81455979876415</v>
      </c>
      <c r="D10" s="26">
        <f t="shared" si="1"/>
        <v>1.69374081733289</v>
      </c>
      <c r="E10" s="26">
        <f t="shared" si="1"/>
        <v>1.72654598751685</v>
      </c>
      <c r="F10" s="26">
        <f t="shared" si="1"/>
        <v>1.82571977190131</v>
      </c>
      <c r="G10" s="26">
        <f>G3/((G5+I6)/2)</f>
        <v>3.85712853190813</v>
      </c>
      <c r="H10" t="s">
        <v>145</v>
      </c>
    </row>
    <row r="11" spans="1:7">
      <c r="A11" s="24" t="s">
        <v>146</v>
      </c>
      <c r="B11" s="26">
        <f>B5/B6</f>
        <v>1.42085565036337</v>
      </c>
      <c r="C11" s="26">
        <f t="shared" ref="C11:G11" si="2">C5/C6</f>
        <v>1.45623480999816</v>
      </c>
      <c r="D11" s="26">
        <f t="shared" si="2"/>
        <v>1.87675989697077</v>
      </c>
      <c r="E11" s="26">
        <f t="shared" si="2"/>
        <v>1.94712532722606</v>
      </c>
      <c r="F11" s="26">
        <f t="shared" si="2"/>
        <v>2.06084897967411</v>
      </c>
      <c r="G11" s="26">
        <f t="shared" si="2"/>
        <v>2.03051455954418</v>
      </c>
    </row>
    <row r="12" spans="1:1">
      <c r="A12" s="24"/>
    </row>
    <row r="13" spans="1:7">
      <c r="A13" s="27" t="s">
        <v>147</v>
      </c>
      <c r="B13" s="28">
        <f>B9*B10*B11</f>
        <v>0.280886512007374</v>
      </c>
      <c r="C13" s="28">
        <f t="shared" ref="C13:F13" si="3">C9*C10*C11</f>
        <v>0.232577149959609</v>
      </c>
      <c r="D13" s="28">
        <f t="shared" si="3"/>
        <v>0.223838844375883</v>
      </c>
      <c r="E13" s="28">
        <f t="shared" si="3"/>
        <v>0.226325514798999</v>
      </c>
      <c r="F13" s="28">
        <f t="shared" si="3"/>
        <v>0.211282495004268</v>
      </c>
      <c r="G13" s="28"/>
    </row>
  </sheetData>
  <mergeCells count="1">
    <mergeCell ref="A1:G1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zoomScale="85" zoomScaleNormal="85" workbookViewId="0">
      <selection activeCell="F11" sqref="F11"/>
    </sheetView>
  </sheetViews>
  <sheetFormatPr defaultColWidth="9" defaultRowHeight="14.5" outlineLevelCol="3"/>
  <cols>
    <col min="1" max="1" width="14.4272727272727" customWidth="1"/>
    <col min="2" max="4" width="9.13636363636364" style="11"/>
  </cols>
  <sheetData>
    <row r="1" spans="1:4">
      <c r="A1" s="12" t="s">
        <v>148</v>
      </c>
      <c r="B1" s="13">
        <v>2025</v>
      </c>
      <c r="C1" s="13">
        <v>2024</v>
      </c>
      <c r="D1" s="13">
        <v>2023</v>
      </c>
    </row>
    <row r="2" spans="1:4">
      <c r="A2" s="14" t="s">
        <v>149</v>
      </c>
      <c r="B2" s="14"/>
      <c r="C2" s="14"/>
      <c r="D2" s="14"/>
    </row>
    <row r="3" ht="26" spans="1:4">
      <c r="A3" s="15" t="s">
        <v>150</v>
      </c>
      <c r="B3" s="16">
        <v>2.024</v>
      </c>
      <c r="C3" s="16">
        <v>1.815</v>
      </c>
      <c r="D3" s="16">
        <v>1.694</v>
      </c>
    </row>
    <row r="4" s="10" customFormat="1" ht="26" spans="1:4">
      <c r="A4" s="17" t="s">
        <v>151</v>
      </c>
      <c r="B4" s="16">
        <v>21.633</v>
      </c>
      <c r="C4" s="16">
        <v>19.868</v>
      </c>
      <c r="D4" s="16">
        <v>17.729</v>
      </c>
    </row>
    <row r="5" ht="26" spans="1:4">
      <c r="A5" s="17" t="s">
        <v>152</v>
      </c>
      <c r="B5" s="16">
        <v>2.908</v>
      </c>
      <c r="C5" s="16">
        <v>3.003</v>
      </c>
      <c r="D5" s="16">
        <v>3.232</v>
      </c>
    </row>
    <row r="6" spans="1:4">
      <c r="A6" s="18" t="s">
        <v>153</v>
      </c>
      <c r="B6" s="18"/>
      <c r="C6" s="18"/>
      <c r="D6" s="18"/>
    </row>
    <row r="7" ht="26" spans="1:4">
      <c r="A7" s="17" t="s">
        <v>154</v>
      </c>
      <c r="B7" s="19">
        <v>0.0645</v>
      </c>
      <c r="C7" s="19">
        <v>0.1669</v>
      </c>
      <c r="D7" s="19">
        <v>-0.0111</v>
      </c>
    </row>
    <row r="8" spans="1:4">
      <c r="A8" s="20" t="s">
        <v>155</v>
      </c>
      <c r="B8" s="20"/>
      <c r="C8" s="20"/>
      <c r="D8" s="20"/>
    </row>
    <row r="9" ht="26" spans="1:4">
      <c r="A9" s="17" t="s">
        <v>156</v>
      </c>
      <c r="B9" s="16">
        <v>3.426</v>
      </c>
      <c r="C9" s="16">
        <v>2.99</v>
      </c>
      <c r="D9" s="16">
        <v>2.968</v>
      </c>
    </row>
    <row r="10" ht="39" spans="1:4">
      <c r="A10" s="17" t="s">
        <v>157</v>
      </c>
      <c r="B10" s="16">
        <v>106.54</v>
      </c>
      <c r="C10" s="16">
        <v>122.06</v>
      </c>
      <c r="D10" s="16">
        <v>122.98</v>
      </c>
    </row>
    <row r="11" spans="1:4">
      <c r="A11" s="20" t="s">
        <v>158</v>
      </c>
      <c r="B11" s="20"/>
      <c r="C11" s="20"/>
      <c r="D11" s="20"/>
    </row>
    <row r="12" spans="1:4">
      <c r="A12" s="17" t="s">
        <v>159</v>
      </c>
      <c r="B12" s="16">
        <v>4.768</v>
      </c>
      <c r="C12" s="16">
        <v>4.74</v>
      </c>
      <c r="D12" s="16">
        <v>3.061</v>
      </c>
    </row>
    <row r="13" spans="1:4">
      <c r="A13" s="17" t="s">
        <v>160</v>
      </c>
      <c r="B13" s="16">
        <v>2.5</v>
      </c>
      <c r="C13" s="16">
        <v>2.569</v>
      </c>
      <c r="D13" s="16">
        <v>1.473</v>
      </c>
    </row>
    <row r="14" spans="1:4">
      <c r="A14" s="17" t="s">
        <v>161</v>
      </c>
      <c r="B14" s="16">
        <v>1.173</v>
      </c>
      <c r="C14" s="16">
        <v>0.525</v>
      </c>
      <c r="D14" s="16">
        <v>0.205</v>
      </c>
    </row>
    <row r="15" ht="26" spans="1:4">
      <c r="A15" s="17" t="s">
        <v>162</v>
      </c>
      <c r="B15" s="16">
        <v>1.421</v>
      </c>
      <c r="C15" s="16">
        <v>1.456</v>
      </c>
      <c r="D15" s="16">
        <v>1.877</v>
      </c>
    </row>
    <row r="16" spans="1:4">
      <c r="A16" s="17"/>
      <c r="B16" s="16"/>
      <c r="C16" s="16"/>
      <c r="D16" s="16"/>
    </row>
    <row r="17" spans="1:4">
      <c r="A17" s="20" t="s">
        <v>163</v>
      </c>
      <c r="B17" s="20"/>
      <c r="C17" s="20"/>
      <c r="D17" s="20"/>
    </row>
    <row r="18" ht="26" spans="1:4">
      <c r="A18" s="17" t="s">
        <v>164</v>
      </c>
      <c r="B18" s="16">
        <v>0.2825</v>
      </c>
      <c r="C18" s="16">
        <v>0.2651</v>
      </c>
      <c r="D18" s="16">
        <v>0.2218</v>
      </c>
    </row>
    <row r="19" ht="26" spans="1:4">
      <c r="A19" s="17" t="s">
        <v>165</v>
      </c>
      <c r="B19" s="16">
        <v>0.1356</v>
      </c>
      <c r="C19" s="16">
        <v>0.1289</v>
      </c>
      <c r="D19" s="16">
        <v>0.0976</v>
      </c>
    </row>
    <row r="20" ht="26" spans="1:4">
      <c r="A20" s="17" t="s">
        <v>143</v>
      </c>
      <c r="B20" s="16">
        <v>0.0977</v>
      </c>
      <c r="C20" s="16">
        <v>0.088</v>
      </c>
      <c r="D20" s="16">
        <v>0.0704</v>
      </c>
    </row>
    <row r="21" ht="26" spans="1:4">
      <c r="A21" s="17" t="s">
        <v>166</v>
      </c>
      <c r="B21" s="16">
        <v>0.2841</v>
      </c>
      <c r="C21" s="16">
        <v>0.2643</v>
      </c>
      <c r="D21" s="16">
        <v>0.2276</v>
      </c>
    </row>
    <row r="22" ht="26" spans="1:4">
      <c r="A22" s="17" t="s">
        <v>167</v>
      </c>
      <c r="B22" s="16">
        <v>0.1977</v>
      </c>
      <c r="C22" s="16">
        <v>0.1597</v>
      </c>
      <c r="D22" s="16">
        <v>0.1193</v>
      </c>
    </row>
  </sheetData>
  <mergeCells count="5">
    <mergeCell ref="A2:D2"/>
    <mergeCell ref="A6:D6"/>
    <mergeCell ref="A8:D8"/>
    <mergeCell ref="A11:D11"/>
    <mergeCell ref="A17:D17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opLeftCell="A4" workbookViewId="0">
      <selection activeCell="H7" sqref="H7"/>
    </sheetView>
  </sheetViews>
  <sheetFormatPr defaultColWidth="8.70909090909091" defaultRowHeight="14.5"/>
  <cols>
    <col min="1" max="1" width="48.7090909090909" customWidth="1"/>
    <col min="2" max="7" width="16" customWidth="1"/>
  </cols>
  <sheetData>
    <row r="1" spans="1:7">
      <c r="A1" s="1" t="s">
        <v>168</v>
      </c>
      <c r="B1" s="1">
        <v>2025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</row>
    <row r="2" spans="1:7">
      <c r="A2" s="4" t="s">
        <v>139</v>
      </c>
      <c r="B2" s="5">
        <v>6469741882</v>
      </c>
      <c r="C2" s="5">
        <v>5789042682</v>
      </c>
      <c r="D2" s="5">
        <v>5357546402</v>
      </c>
      <c r="E2" s="5">
        <v>4705164873</v>
      </c>
      <c r="F2" s="5">
        <v>4167164821</v>
      </c>
      <c r="G2" s="5">
        <v>3899549785</v>
      </c>
    </row>
    <row r="3" spans="1:7">
      <c r="A3" s="2" t="s">
        <v>169</v>
      </c>
      <c r="B3" s="3">
        <v>4642249673</v>
      </c>
      <c r="C3" s="3">
        <v>4254327924</v>
      </c>
      <c r="D3" s="3">
        <v>4169284256</v>
      </c>
      <c r="E3" s="3">
        <v>3793145401</v>
      </c>
      <c r="F3" s="3">
        <v>3364190911</v>
      </c>
      <c r="G3" s="3">
        <v>3171924005</v>
      </c>
    </row>
    <row r="4" spans="1:7">
      <c r="A4" s="4" t="s">
        <v>170</v>
      </c>
      <c r="B4" s="5">
        <v>1827492209</v>
      </c>
      <c r="C4" s="5">
        <v>1534714758</v>
      </c>
      <c r="D4" s="5">
        <v>1188262146</v>
      </c>
      <c r="E4" s="5">
        <v>912019472</v>
      </c>
      <c r="F4" s="5">
        <v>802973910</v>
      </c>
      <c r="G4" s="5">
        <v>727625780</v>
      </c>
    </row>
    <row r="5" spans="1:7">
      <c r="A5" s="2" t="s">
        <v>171</v>
      </c>
      <c r="B5" s="3">
        <v>128403926</v>
      </c>
      <c r="C5" s="3">
        <v>85034332</v>
      </c>
      <c r="D5" s="3">
        <v>80159444</v>
      </c>
      <c r="E5" s="3">
        <v>71538556</v>
      </c>
      <c r="F5" s="3">
        <v>71438205</v>
      </c>
      <c r="G5" s="3">
        <v>71452414</v>
      </c>
    </row>
    <row r="6" spans="1:7">
      <c r="A6" s="2" t="s">
        <v>172</v>
      </c>
      <c r="B6" s="3">
        <v>821533640</v>
      </c>
      <c r="C6" s="3">
        <v>703282593</v>
      </c>
      <c r="D6" s="3">
        <v>585030886</v>
      </c>
      <c r="E6" s="3">
        <v>492793924</v>
      </c>
      <c r="F6" s="3">
        <v>429766888</v>
      </c>
      <c r="G6" s="3">
        <v>428036119</v>
      </c>
    </row>
    <row r="7" spans="1:7">
      <c r="A7" s="4" t="s">
        <v>173</v>
      </c>
      <c r="B7" s="5">
        <v>877554643</v>
      </c>
      <c r="C7" s="5">
        <v>746397833</v>
      </c>
      <c r="D7" s="5">
        <v>523071816</v>
      </c>
      <c r="E7" s="5">
        <v>347686992</v>
      </c>
      <c r="F7" s="5">
        <v>301768817</v>
      </c>
      <c r="G7" s="5">
        <v>228137247</v>
      </c>
    </row>
    <row r="8" spans="1:7">
      <c r="A8" s="2" t="s">
        <v>174</v>
      </c>
      <c r="B8" s="3">
        <v>45083995</v>
      </c>
      <c r="C8" s="3">
        <v>21117583</v>
      </c>
      <c r="D8" s="3">
        <v>70389079</v>
      </c>
      <c r="E8" s="3">
        <v>74424880</v>
      </c>
      <c r="F8" s="3">
        <v>14928307</v>
      </c>
      <c r="G8" s="3">
        <v>13509520</v>
      </c>
    </row>
    <row r="9" spans="1:7">
      <c r="A9" s="2" t="s">
        <v>175</v>
      </c>
      <c r="B9" s="3">
        <v>4923815</v>
      </c>
      <c r="C9" s="3">
        <v>27200991</v>
      </c>
      <c r="D9" s="3">
        <v>41689500</v>
      </c>
      <c r="E9" s="3">
        <v>2086344</v>
      </c>
      <c r="F9" s="3">
        <v>4175940</v>
      </c>
      <c r="G9" s="3">
        <v>6823594</v>
      </c>
    </row>
    <row r="10" spans="1:7">
      <c r="A10" s="4" t="s">
        <v>176</v>
      </c>
      <c r="B10" s="5">
        <v>917714824</v>
      </c>
      <c r="C10" s="5">
        <v>740314426</v>
      </c>
      <c r="D10" s="5">
        <v>551771396</v>
      </c>
      <c r="E10" s="5">
        <v>420025529</v>
      </c>
      <c r="F10" s="5">
        <v>312521185</v>
      </c>
      <c r="G10" s="5">
        <v>234823174</v>
      </c>
    </row>
    <row r="11" spans="1:7">
      <c r="A11" s="2" t="s">
        <v>177</v>
      </c>
      <c r="B11" s="3">
        <v>43700706</v>
      </c>
      <c r="C11" s="3">
        <v>35253068</v>
      </c>
      <c r="D11" s="3">
        <v>26274828</v>
      </c>
      <c r="E11" s="3">
        <v>20001216</v>
      </c>
      <c r="F11" s="3">
        <v>14881961</v>
      </c>
      <c r="G11" s="3">
        <v>11182056</v>
      </c>
    </row>
    <row r="12" spans="1:7">
      <c r="A12" s="4" t="s">
        <v>37</v>
      </c>
      <c r="B12" s="5">
        <v>874014118</v>
      </c>
      <c r="C12" s="5">
        <v>705061358</v>
      </c>
      <c r="D12" s="5">
        <v>525496568</v>
      </c>
      <c r="E12" s="5">
        <v>400024313</v>
      </c>
      <c r="F12" s="5">
        <v>297639224</v>
      </c>
      <c r="G12" s="5">
        <v>223641118</v>
      </c>
    </row>
    <row r="13" spans="1:7">
      <c r="A13" s="4" t="s">
        <v>38</v>
      </c>
      <c r="B13" s="8">
        <v>-241995841</v>
      </c>
      <c r="C13" s="8">
        <v>-195529781</v>
      </c>
      <c r="D13" s="8">
        <v>-148232252</v>
      </c>
      <c r="E13" s="8">
        <v>-83259956</v>
      </c>
      <c r="F13" s="8">
        <v>-63634885</v>
      </c>
      <c r="G13" s="8">
        <v>-55677757</v>
      </c>
    </row>
    <row r="14" spans="1:7">
      <c r="A14" s="2" t="s">
        <v>178</v>
      </c>
      <c r="B14" s="6">
        <v>-237032324</v>
      </c>
      <c r="C14" s="6">
        <v>-197859554</v>
      </c>
      <c r="D14" s="6">
        <v>-148232252</v>
      </c>
      <c r="E14" s="6">
        <v>-83913325</v>
      </c>
      <c r="F14" s="6">
        <v>-66958551</v>
      </c>
      <c r="G14" s="6">
        <v>-56721718</v>
      </c>
    </row>
    <row r="15" spans="1:7">
      <c r="A15" s="2" t="s">
        <v>179</v>
      </c>
      <c r="B15" s="6">
        <v>-4963517</v>
      </c>
      <c r="C15" s="3">
        <v>2329773</v>
      </c>
      <c r="D15" s="7"/>
      <c r="E15" s="3">
        <v>653369</v>
      </c>
      <c r="F15" s="3">
        <v>3323666</v>
      </c>
      <c r="G15" s="3">
        <v>1043961</v>
      </c>
    </row>
    <row r="16" spans="1:13">
      <c r="A16" s="4" t="s">
        <v>140</v>
      </c>
      <c r="B16" s="5">
        <v>632018276</v>
      </c>
      <c r="C16" s="5">
        <v>509531576</v>
      </c>
      <c r="D16" s="5">
        <v>377264315</v>
      </c>
      <c r="E16" s="5">
        <v>316764356</v>
      </c>
      <c r="F16" s="5">
        <v>234004338</v>
      </c>
      <c r="G16" s="5">
        <v>167963362</v>
      </c>
      <c r="I16" s="9">
        <f>(B16-C16)/C16</f>
        <v>0.240390793759168</v>
      </c>
      <c r="J16" s="9">
        <f>(C16-D16)/D16</f>
        <v>0.350595738163044</v>
      </c>
      <c r="K16" s="9">
        <f>(D16-E16)/E16</f>
        <v>0.19099358199254</v>
      </c>
      <c r="L16" s="9">
        <f t="shared" ref="J16:M16" si="0">(E16-F16)/F16</f>
        <v>0.353668734124066</v>
      </c>
      <c r="M16" s="9">
        <f t="shared" si="0"/>
        <v>0.393186795105947</v>
      </c>
    </row>
    <row r="17" spans="1:7">
      <c r="A17" s="4" t="s">
        <v>180</v>
      </c>
      <c r="B17" s="5">
        <v>17.05</v>
      </c>
      <c r="C17" s="5">
        <v>13.74</v>
      </c>
      <c r="D17" s="5">
        <v>12.31</v>
      </c>
      <c r="E17" s="5">
        <v>9.17</v>
      </c>
      <c r="F17" s="5">
        <v>12.41</v>
      </c>
      <c r="G17" s="5">
        <v>8.32</v>
      </c>
    </row>
    <row r="18" spans="9:9">
      <c r="I18" s="9">
        <f>AVERAGE(I16:M16)</f>
        <v>0.305767128628953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5" workbookViewId="0">
      <selection activeCell="C18" sqref="C18"/>
    </sheetView>
  </sheetViews>
  <sheetFormatPr defaultColWidth="8.70909090909091" defaultRowHeight="14.5" outlineLevelCol="6"/>
  <cols>
    <col min="1" max="1" width="32" customWidth="1"/>
    <col min="2" max="7" width="16" customWidth="1"/>
  </cols>
  <sheetData>
    <row r="1" spans="1:7">
      <c r="A1" s="1" t="s">
        <v>168</v>
      </c>
      <c r="B1" s="1">
        <v>2025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</row>
    <row r="2" spans="1:7">
      <c r="A2" s="2" t="s">
        <v>181</v>
      </c>
      <c r="B2" s="3">
        <v>308504545</v>
      </c>
      <c r="C2" s="3">
        <v>281669052</v>
      </c>
      <c r="D2" s="3">
        <v>292256338</v>
      </c>
      <c r="E2" s="3">
        <v>297895722</v>
      </c>
      <c r="F2" s="3">
        <v>304737290</v>
      </c>
      <c r="G2" s="3">
        <v>301717254</v>
      </c>
    </row>
    <row r="3" spans="1:7">
      <c r="A3" s="2" t="s">
        <v>182</v>
      </c>
      <c r="B3" s="3">
        <v>4988581</v>
      </c>
      <c r="C3" s="3">
        <v>2967112</v>
      </c>
      <c r="D3" s="3">
        <v>5857067</v>
      </c>
      <c r="E3" s="3">
        <v>8365756</v>
      </c>
      <c r="F3" s="3">
        <v>2227871</v>
      </c>
      <c r="G3" s="3">
        <v>3357370</v>
      </c>
    </row>
    <row r="4" spans="1:7">
      <c r="A4" s="4" t="s">
        <v>183</v>
      </c>
      <c r="B4" s="5">
        <v>313493126</v>
      </c>
      <c r="C4" s="5">
        <v>284636164</v>
      </c>
      <c r="D4" s="5">
        <v>298113405</v>
      </c>
      <c r="E4" s="5">
        <v>306261478</v>
      </c>
      <c r="F4" s="5">
        <v>306965161</v>
      </c>
      <c r="G4" s="5">
        <v>305074624</v>
      </c>
    </row>
    <row r="5" spans="1:7">
      <c r="A5" s="2" t="s">
        <v>45</v>
      </c>
      <c r="B5" s="3">
        <v>1483829848</v>
      </c>
      <c r="C5" s="3">
        <v>1226269073</v>
      </c>
      <c r="D5" s="3">
        <v>1619031606</v>
      </c>
      <c r="E5" s="3">
        <v>1190511271</v>
      </c>
      <c r="F5" s="3">
        <v>1002898067</v>
      </c>
      <c r="G5" s="3">
        <v>916560031</v>
      </c>
    </row>
    <row r="6" spans="1:7">
      <c r="A6" s="2" t="s">
        <v>42</v>
      </c>
      <c r="B6" s="3">
        <v>60328048</v>
      </c>
      <c r="C6" s="3">
        <v>24557812</v>
      </c>
      <c r="D6" s="3">
        <v>19668530</v>
      </c>
      <c r="E6" s="3">
        <v>10536756</v>
      </c>
      <c r="F6" s="3">
        <v>6666809</v>
      </c>
      <c r="G6" s="3">
        <v>10079100</v>
      </c>
    </row>
    <row r="7" spans="1:7">
      <c r="A7" s="2" t="s">
        <v>184</v>
      </c>
      <c r="B7" s="3">
        <v>343757971</v>
      </c>
      <c r="C7" s="3">
        <v>553169165</v>
      </c>
      <c r="D7" s="3">
        <v>502216479</v>
      </c>
      <c r="E7" s="3">
        <v>408726904</v>
      </c>
      <c r="F7" s="3">
        <v>494212536</v>
      </c>
      <c r="G7" s="3">
        <v>466215444</v>
      </c>
    </row>
    <row r="8" spans="1:7">
      <c r="A8" s="2" t="s">
        <v>185</v>
      </c>
      <c r="B8" s="3">
        <v>475695690</v>
      </c>
      <c r="C8" s="3">
        <v>70885229</v>
      </c>
      <c r="D8" s="3">
        <v>39949230</v>
      </c>
      <c r="E8" s="3">
        <v>47646350</v>
      </c>
      <c r="F8" s="3">
        <v>45243385</v>
      </c>
      <c r="G8" s="3">
        <v>41853971</v>
      </c>
    </row>
    <row r="9" spans="1:7">
      <c r="A9" s="2" t="s">
        <v>186</v>
      </c>
      <c r="B9" s="3">
        <v>463423133</v>
      </c>
      <c r="C9" s="3">
        <v>576495701</v>
      </c>
      <c r="D9" s="3">
        <v>770326570</v>
      </c>
      <c r="E9" s="3">
        <v>717324924</v>
      </c>
      <c r="F9" s="3">
        <v>342678399</v>
      </c>
      <c r="G9" s="3">
        <v>159604015</v>
      </c>
    </row>
    <row r="10" spans="1:7">
      <c r="A10" s="2" t="s">
        <v>187</v>
      </c>
      <c r="B10" s="3">
        <v>291772464</v>
      </c>
      <c r="C10" s="3">
        <v>225776005</v>
      </c>
      <c r="D10" s="3">
        <v>169562958</v>
      </c>
      <c r="E10" s="3">
        <v>226411891</v>
      </c>
      <c r="F10" s="3">
        <v>344294926</v>
      </c>
      <c r="G10" s="3">
        <v>122609102</v>
      </c>
    </row>
    <row r="11" spans="1:7">
      <c r="A11" s="4" t="s">
        <v>188</v>
      </c>
      <c r="B11" s="5">
        <v>3118807154</v>
      </c>
      <c r="C11" s="5">
        <v>2677152985</v>
      </c>
      <c r="D11" s="5">
        <v>3120755373</v>
      </c>
      <c r="E11" s="5">
        <v>2601158096</v>
      </c>
      <c r="F11" s="5">
        <v>2235994122</v>
      </c>
      <c r="G11" s="5">
        <v>1716921663</v>
      </c>
    </row>
    <row r="12" spans="1:7">
      <c r="A12" s="4" t="s">
        <v>141</v>
      </c>
      <c r="B12" s="5">
        <v>3432300280</v>
      </c>
      <c r="C12" s="5">
        <v>2961789149</v>
      </c>
      <c r="D12" s="5">
        <v>3418868778</v>
      </c>
      <c r="E12" s="5">
        <v>2907419574</v>
      </c>
      <c r="F12" s="5">
        <v>2542959283</v>
      </c>
      <c r="G12" s="5">
        <v>2021996287</v>
      </c>
    </row>
    <row r="13" spans="1:7">
      <c r="A13" s="2" t="s">
        <v>189</v>
      </c>
      <c r="B13" s="3">
        <v>370708124</v>
      </c>
      <c r="C13" s="3">
        <v>337007385</v>
      </c>
      <c r="D13" s="3">
        <v>306370350</v>
      </c>
      <c r="E13" s="3">
        <v>255308625</v>
      </c>
      <c r="F13" s="3">
        <v>222007500</v>
      </c>
      <c r="G13" s="3">
        <v>201825000</v>
      </c>
    </row>
    <row r="14" spans="1:7">
      <c r="A14" s="2" t="s">
        <v>190</v>
      </c>
      <c r="B14" s="6">
        <v>-148382373</v>
      </c>
      <c r="C14" s="6">
        <v>-66657216</v>
      </c>
      <c r="D14" s="3">
        <v>108145205</v>
      </c>
      <c r="E14" s="3">
        <v>105846608</v>
      </c>
      <c r="F14" s="3">
        <v>85623723</v>
      </c>
      <c r="G14" s="3">
        <v>10856465</v>
      </c>
    </row>
    <row r="15" spans="1:7">
      <c r="A15" s="2" t="s">
        <v>191</v>
      </c>
      <c r="B15" s="3">
        <v>7143605</v>
      </c>
      <c r="C15" s="3">
        <v>7143605</v>
      </c>
      <c r="D15" s="3">
        <v>7143605</v>
      </c>
      <c r="E15" s="3">
        <v>7143605</v>
      </c>
      <c r="F15" s="3">
        <v>7143605</v>
      </c>
      <c r="G15" s="3">
        <v>7143605</v>
      </c>
    </row>
    <row r="16" spans="1:7">
      <c r="A16" s="2" t="s">
        <v>192</v>
      </c>
      <c r="B16" s="3">
        <v>2186187913</v>
      </c>
      <c r="C16" s="3">
        <v>1756374067</v>
      </c>
      <c r="D16" s="3">
        <v>1400027665</v>
      </c>
      <c r="E16" s="3">
        <v>1124886800</v>
      </c>
      <c r="F16" s="3">
        <v>919162888</v>
      </c>
      <c r="G16" s="3">
        <v>775979800</v>
      </c>
    </row>
    <row r="17" spans="1:7">
      <c r="A17" s="4" t="s">
        <v>142</v>
      </c>
      <c r="B17" s="5">
        <v>2415657269</v>
      </c>
      <c r="C17" s="5">
        <v>2033867841</v>
      </c>
      <c r="D17" s="5">
        <v>1821686825</v>
      </c>
      <c r="E17" s="5">
        <v>1493185638</v>
      </c>
      <c r="F17" s="5">
        <v>1233937716</v>
      </c>
      <c r="G17" s="5">
        <v>995804870</v>
      </c>
    </row>
    <row r="18" spans="1:7">
      <c r="A18" s="2" t="s">
        <v>193</v>
      </c>
      <c r="B18" s="3">
        <v>326089784</v>
      </c>
      <c r="C18" s="3">
        <v>326089784</v>
      </c>
      <c r="D18" s="3">
        <v>526089784</v>
      </c>
      <c r="E18" s="3">
        <v>326089784</v>
      </c>
      <c r="F18" s="3">
        <v>326089784</v>
      </c>
      <c r="G18" s="3">
        <v>326089784</v>
      </c>
    </row>
    <row r="19" spans="1:7">
      <c r="A19" s="2" t="s">
        <v>194</v>
      </c>
      <c r="B19" s="3">
        <v>31079704</v>
      </c>
      <c r="C19" s="3">
        <v>23456346</v>
      </c>
      <c r="D19" s="3">
        <v>14001893</v>
      </c>
      <c r="E19" s="3">
        <v>12431258</v>
      </c>
      <c r="F19" s="3">
        <v>13594787</v>
      </c>
      <c r="G19" s="3">
        <v>14842197</v>
      </c>
    </row>
    <row r="20" spans="1:7">
      <c r="A20" s="2" t="s">
        <v>195</v>
      </c>
      <c r="B20" s="3">
        <v>2945240</v>
      </c>
      <c r="C20" s="3">
        <v>1700749</v>
      </c>
      <c r="D20" s="3">
        <v>3836591</v>
      </c>
      <c r="E20" s="3">
        <v>6433915</v>
      </c>
      <c r="F20" s="3">
        <v>1218551</v>
      </c>
      <c r="G20" s="3">
        <v>985095</v>
      </c>
    </row>
    <row r="21" spans="1:7">
      <c r="A21" s="2" t="s">
        <v>196</v>
      </c>
      <c r="B21" s="3">
        <v>2424349</v>
      </c>
      <c r="C21" s="3">
        <v>11882918</v>
      </c>
      <c r="D21" s="3">
        <v>33635182</v>
      </c>
      <c r="E21" s="3">
        <v>36900563</v>
      </c>
      <c r="F21" s="3">
        <v>35306945</v>
      </c>
      <c r="G21" s="3">
        <v>30323138</v>
      </c>
    </row>
    <row r="22" spans="1:7">
      <c r="A22" s="4" t="s">
        <v>197</v>
      </c>
      <c r="B22" s="5">
        <v>362539077</v>
      </c>
      <c r="C22" s="5">
        <v>363129797</v>
      </c>
      <c r="D22" s="5">
        <v>577563450</v>
      </c>
      <c r="E22" s="5">
        <v>381855520</v>
      </c>
      <c r="F22" s="5">
        <v>376210067</v>
      </c>
      <c r="G22" s="5">
        <v>372240214</v>
      </c>
    </row>
    <row r="23" spans="1:7">
      <c r="A23" s="2" t="s">
        <v>198</v>
      </c>
      <c r="B23" s="7"/>
      <c r="C23" s="3">
        <v>9877428</v>
      </c>
      <c r="D23" s="3">
        <v>554910475</v>
      </c>
      <c r="E23" s="3">
        <v>947579</v>
      </c>
      <c r="F23" s="3">
        <v>104</v>
      </c>
      <c r="G23" s="3">
        <v>145729</v>
      </c>
    </row>
    <row r="24" spans="1:7">
      <c r="A24" s="2" t="s">
        <v>199</v>
      </c>
      <c r="B24" s="3">
        <v>2987828</v>
      </c>
      <c r="C24" s="3">
        <v>2135842</v>
      </c>
      <c r="D24" s="3">
        <v>2712006</v>
      </c>
      <c r="E24" s="3">
        <v>2431688</v>
      </c>
      <c r="F24" s="3">
        <v>1233575</v>
      </c>
      <c r="G24" s="3">
        <v>2538266</v>
      </c>
    </row>
    <row r="25" spans="1:7">
      <c r="A25" s="2" t="s">
        <v>47</v>
      </c>
      <c r="B25" s="3">
        <v>555741022</v>
      </c>
      <c r="C25" s="3">
        <v>477106143</v>
      </c>
      <c r="D25" s="3">
        <v>408584873</v>
      </c>
      <c r="E25" s="3">
        <v>407648978</v>
      </c>
      <c r="F25" s="3">
        <v>466289982</v>
      </c>
      <c r="G25" s="3">
        <v>396324904</v>
      </c>
    </row>
    <row r="26" spans="1:7">
      <c r="A26" s="2" t="s">
        <v>49</v>
      </c>
      <c r="B26" s="7"/>
      <c r="C26" s="7"/>
      <c r="D26" s="7"/>
      <c r="E26" s="3">
        <v>575847511</v>
      </c>
      <c r="F26" s="3">
        <v>414097360</v>
      </c>
      <c r="G26" s="3">
        <v>216173985</v>
      </c>
    </row>
    <row r="27" spans="1:7">
      <c r="A27" s="2" t="s">
        <v>200</v>
      </c>
      <c r="B27" s="3">
        <v>31291937</v>
      </c>
      <c r="C27" s="3">
        <v>22228858</v>
      </c>
      <c r="D27" s="3">
        <v>14495776</v>
      </c>
      <c r="E27" s="3">
        <v>12136422</v>
      </c>
      <c r="F27" s="3">
        <v>25261288</v>
      </c>
      <c r="G27" s="3">
        <v>19295927</v>
      </c>
    </row>
    <row r="28" spans="1:7">
      <c r="A28" s="2" t="s">
        <v>201</v>
      </c>
      <c r="B28" s="3">
        <v>64083148</v>
      </c>
      <c r="C28" s="3">
        <v>53443241</v>
      </c>
      <c r="D28" s="3">
        <v>38915373</v>
      </c>
      <c r="E28" s="3">
        <v>33366305</v>
      </c>
      <c r="F28" s="3">
        <v>25929192</v>
      </c>
      <c r="G28" s="3">
        <v>19472392</v>
      </c>
    </row>
    <row r="29" spans="1:7">
      <c r="A29" s="4" t="s">
        <v>202</v>
      </c>
      <c r="B29" s="5">
        <v>654103935</v>
      </c>
      <c r="C29" s="5">
        <v>564791512</v>
      </c>
      <c r="D29" s="5">
        <v>1019618503</v>
      </c>
      <c r="E29" s="5">
        <v>1032378483</v>
      </c>
      <c r="F29" s="5">
        <v>932811501</v>
      </c>
      <c r="G29" s="5">
        <v>653951203</v>
      </c>
    </row>
    <row r="30" spans="1:7">
      <c r="A30" s="4" t="s">
        <v>203</v>
      </c>
      <c r="B30" s="5">
        <v>3432300281</v>
      </c>
      <c r="C30" s="5">
        <v>2961789150</v>
      </c>
      <c r="D30" s="5">
        <v>3418868778</v>
      </c>
      <c r="E30" s="5">
        <v>2907419641</v>
      </c>
      <c r="F30" s="5">
        <v>2542959284</v>
      </c>
      <c r="G30" s="5">
        <v>2021996287</v>
      </c>
    </row>
    <row r="31" spans="1:7">
      <c r="A31" s="4" t="s">
        <v>204</v>
      </c>
      <c r="B31" s="5">
        <v>65.16</v>
      </c>
      <c r="C31" s="5">
        <v>54.86</v>
      </c>
      <c r="D31" s="5">
        <v>59.46</v>
      </c>
      <c r="E31" s="5">
        <v>58.49</v>
      </c>
      <c r="F31" s="5">
        <v>55.58</v>
      </c>
      <c r="G31" s="5">
        <v>49.34</v>
      </c>
    </row>
    <row r="32" spans="1:7">
      <c r="A32" s="2" t="s">
        <v>205</v>
      </c>
      <c r="B32" s="7"/>
      <c r="C32" s="7"/>
      <c r="D32" s="7"/>
      <c r="E32" s="7"/>
      <c r="F32" s="3">
        <v>48.33</v>
      </c>
      <c r="G32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Cost of Debt</vt:lpstr>
      <vt:lpstr>Cost of Equity</vt:lpstr>
      <vt:lpstr>Tax</vt:lpstr>
      <vt:lpstr>FCF</vt:lpstr>
      <vt:lpstr>CFFA Calc</vt:lpstr>
      <vt:lpstr>FCFF and FCFE calc</vt:lpstr>
      <vt:lpstr>DDM Valuation </vt:lpstr>
      <vt:lpstr>PE Valuation</vt:lpstr>
      <vt:lpstr>Du Pont</vt:lpstr>
      <vt:lpstr>Ratio</vt:lpstr>
      <vt:lpstr>Kohinoor Income Statement</vt:lpstr>
      <vt:lpstr>Kohinoor 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Rahik</cp:lastModifiedBy>
  <cp:revision>0</cp:revision>
  <dcterms:created xsi:type="dcterms:W3CDTF">2026-08-25T11:55:00Z</dcterms:created>
  <dcterms:modified xsi:type="dcterms:W3CDTF">2026-09-09T11:27:01Z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B05936EFEE7841D7B78A33F6BB0733C8_12</vt:lpwstr>
  </property>
  <property fmtid="{D5CDD505-2E9C-101B-9397-08002B2CF9AE}" pid="3" name="KSOProductBuildVer">
    <vt:lpwstr>2057-12.2.0.23206</vt:lpwstr>
  </property>
</Properties>
</file>